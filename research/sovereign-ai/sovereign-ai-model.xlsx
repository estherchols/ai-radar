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9.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ME" sheetId="1" state="visible" r:id="rId3"/>
    <sheet name="Assumptions" sheetId="2" state="visible" r:id="rId4"/>
    <sheet name="BottomUp" sheetId="3" state="visible" r:id="rId5"/>
    <sheet name="TopDown" sheetId="4" state="visible" r:id="rId6"/>
    <sheet name="GigawattTCO" sheetId="5" state="visible" r:id="rId7"/>
    <sheet name="Configs" sheetId="6" state="visible" r:id="rId8"/>
    <sheet name="Pricing" sheetId="7" state="visible" r:id="rId9"/>
    <sheet name="Value" sheetId="8" state="visible" r:id="rId10"/>
    <sheet name="Sources" sheetId="9" state="visible" r:id="rId11"/>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<sst xmlns="http://schemas.openxmlformats.org/spreadsheetml/2006/main" count="1251" uniqueCount="997">
  <si>
    <t xml:space="preserve">Sovereign AI compute: sizing, cost, pricing and value model</t>
  </si>
  <si>
    <t xml:space="preserve">Companion to esthercs.dev/research/sovereign-ai. Built 19 October 2026 by Esther Suebsubanant. Every input is dated and sourced on the Assumptions sheet.</t>
  </si>
  <si>
    <t xml:space="preserve">How to read this workbook</t>
  </si>
  <si>
    <t xml:space="preserve">Blue text</t>
  </si>
  <si>
    <t xml:space="preserve">Hardcoded input, sourced or labelled as my assumption on Assumptions.</t>
  </si>
  <si>
    <t xml:space="preserve">Black text</t>
  </si>
  <si>
    <t xml:space="preserve">Formula on the same sheet.</t>
  </si>
  <si>
    <t xml:space="preserve">Green text</t>
  </si>
  <si>
    <t xml:space="preserve">Formula pulling from another sheet.</t>
  </si>
  <si>
    <t xml:space="preserve">Yellow fill</t>
  </si>
  <si>
    <t xml:space="preserve">Scenario lever you are expected to change.</t>
  </si>
  <si>
    <t xml:space="preserve">Formula column</t>
  </si>
  <si>
    <t xml:space="preserve">Each computed row states its formula in words.</t>
  </si>
  <si>
    <t xml:space="preserve">Sheets</t>
  </si>
  <si>
    <t xml:space="preserve">Assumptions</t>
  </si>
  <si>
    <t xml:space="preserve">Every input with unit, value, read date and source URL.</t>
  </si>
  <si>
    <t xml:space="preserve">TopDown</t>
  </si>
  <si>
    <t xml:space="preserve">Three paths to 2026 sovereign AI compute spend: NVIDIA's disclosed sovereign revenue grossed up, analyst market estimates, and public funding with private leverage.</t>
  </si>
  <si>
    <t xml:space="preserve">BottomUp</t>
  </si>
  <si>
    <t xml:space="preserve">Programme by programme: announced capacity, timeline, megawatts energised in 2026, GPUs and capex, grouped by quadrant.</t>
  </si>
  <si>
    <t xml:space="preserve">GigawattTCO</t>
  </si>
  <si>
    <t xml:space="preserve">What a gigawatt costs to own, by country: capex, power, delay, and the owner's effective $ per GPU-hour.</t>
  </si>
  <si>
    <t xml:space="preserve">Configs</t>
  </si>
  <si>
    <t xml:space="preserve">Four reference builds, one per quadrant: compute exporter campus, industrial AI factory, EU gigafactory, subsidised national GPU pool.</t>
  </si>
  <si>
    <t xml:space="preserve">Pricing</t>
  </si>
  <si>
    <t xml:space="preserve">GPU-hour prices by route and region, subsidy gaps, where the margin sits.</t>
  </si>
  <si>
    <t xml:space="preserve">Value</t>
  </si>
  <si>
    <t xml:space="preserve">What the compute is worth: GDP uplift claims, revenue per compute dollar, economic value per dollar of investment.</t>
  </si>
  <si>
    <t xml:space="preserve">Sources</t>
  </si>
  <si>
    <t xml:space="preserve">Numbered source list matching the article.</t>
  </si>
  <si>
    <t xml:space="preserve">Units</t>
  </si>
  <si>
    <t xml:space="preserve">US dollars. Megawatts are IT load unless marked facility. Years are calendar years unless marked FY (NVIDIA fiscal year ends late January).</t>
  </si>
  <si>
    <t xml:space="preserve">Assumptions and inputs</t>
  </si>
  <si>
    <t xml:space="preserve">Blue = hardcoded. 'My assumption' = no public figure, my estimate, flagged for argument.</t>
  </si>
  <si>
    <t xml:space="preserve">Key</t>
  </si>
  <si>
    <t xml:space="preserve">Input</t>
  </si>
  <si>
    <t xml:space="preserve">Unit</t>
  </si>
  <si>
    <t xml:space="preserve">Read / dated</t>
  </si>
  <si>
    <t xml:space="preserve">Source</t>
  </si>
  <si>
    <t xml:space="preserve">Top-down inputs</t>
  </si>
  <si>
    <t xml:space="preserve">nvda_sov_fy26</t>
  </si>
  <si>
    <t xml:space="preserve">NVIDIA sovereign AI revenue, FY2026 (ended 25 Jan 2026)</t>
  </si>
  <si>
    <t xml:space="preserve">$B</t>
  </si>
  <si>
    <t xml:space="preserve">25 Feb 2026</t>
  </si>
  <si>
    <t xml:space="preserve">NVIDIA Q4 FY26 earnings call as cited by State of AI Report 2026 and Fortune (15 Oct 2026, 'tripled to more than $30 billion'). https://fortune.com/2026/10/15/nvidias-european-spending-spree-is-about-much-more-than-europe/</t>
  </si>
  <si>
    <t xml:space="preserve">nvda_sov_growth</t>
  </si>
  <si>
    <t xml:space="preserve">Growth in NVIDIA sovereign revenue, FY26 to calendar 2026</t>
  </si>
  <si>
    <t xml:space="preserve">fraction</t>
  </si>
  <si>
    <t xml:space="preserve">My assumption</t>
  </si>
  <si>
    <t xml:space="preserve">It tripled in FY26. Pipeline (HUMAIN 600k GPUs, Korea 260k, Japan 27.5k Rubin, Nscale 58.6k) supports continued growth but power gates delivery. 40%. Lever.</t>
  </si>
  <si>
    <t xml:space="preserve">nvda_share</t>
  </si>
  <si>
    <t xml:space="preserve">NVIDIA share of accelerator revenue in sovereign deals</t>
  </si>
  <si>
    <t xml:space="preserve">2026</t>
  </si>
  <si>
    <t xml:space="preserve">Higher than the ~80% global share because sovereign deals are mostly NVIDIA-branded AI factories; AMD (HUMAIN 1 GW), Qualcomm (200 MW) and Groq (19,000 LPUs) take the rest. Lever.</t>
  </si>
  <si>
    <t xml:space="preserve">server_share</t>
  </si>
  <si>
    <t xml:space="preserve">Servers incl. GPUs as share of a data center's up-front capex</t>
  </si>
  <si>
    <t xml:space="preserve">Jun 2026</t>
  </si>
  <si>
    <t xml:space="preserve">Carnegie Endowment, The Compute Coalition: servers 64%, networking 11%, storage 5%, engineering and construction 11%, electrical 5%, thermal 2.5%, generators 2%. https://carnegieendowment.org/research/2026/06/the-compute-coalition-how-to-build-the-future-of-ai-in-the-free-world</t>
  </si>
  <si>
    <t xml:space="preserve">mm_2025</t>
  </si>
  <si>
    <t xml:space="preserve">Sovereign AI market, 2025 (MarketsandMarkets)</t>
  </si>
  <si>
    <t xml:space="preserve">19 Aug 2026</t>
  </si>
  <si>
    <t xml:space="preserve">MarketsandMarkets press release: $40.0B (2025) to $148.0B (2032), 20.6% CAGR. https://finance.yahoo.com/technology/ai/articles/sovereign-ai-market-reach-usd-151500186.html</t>
  </si>
  <si>
    <t xml:space="preserve">mm_cagr</t>
  </si>
  <si>
    <t xml:space="preserve">Sovereign AI market CAGR 2026-2032 (MarketsandMarkets)</t>
  </si>
  <si>
    <t xml:space="preserve">Same release.</t>
  </si>
  <si>
    <t xml:space="preserve">gvr_2026</t>
  </si>
  <si>
    <t xml:space="preserve">Sovereign AI market, 2026 (Grand View Research)</t>
  </si>
  <si>
    <t xml:space="preserve">Grand View Research: $41.3B 2025, $48.9B 2026, $180.5B 2033, 20.5% CAGR. https://www.grandviewresearch.com/industry-analysis/sovereign-ai-market-report</t>
  </si>
  <si>
    <t xml:space="preserve">gvr_hw</t>
  </si>
  <si>
    <t xml:space="preserve">Hardware share of the sovereign AI market (Grand View)</t>
  </si>
  <si>
    <t xml:space="preserve">Same source (48.0% in 2025).</t>
  </si>
  <si>
    <t xml:space="preserve">prec_2026</t>
  </si>
  <si>
    <t xml:space="preserve">Sovereign AI infrastructure market, 2026 (Precedence Research)</t>
  </si>
  <si>
    <t xml:space="preserve">Precedence Research: $15.0B 2025, $19.2B 2026, $177.1B 2035, 28% CAGR. https://www.precedenceresearch.com/sovereign-ai-infrastructure-market</t>
  </si>
  <si>
    <t xml:space="preserve">sns_2025</t>
  </si>
  <si>
    <t xml:space="preserve">Sovereign AI infrastructure market, 2025 (SNS Insider)</t>
  </si>
  <si>
    <t xml:space="preserve">SNS Insider: $17.81B 2025 to $91.99B 2035. https://www.snsinsider.com/reports/sovereign-ai-infrastructure-market-10918</t>
  </si>
  <si>
    <t xml:space="preserve">ai_infra_26</t>
  </si>
  <si>
    <t xml:space="preserve">Worldwide AI infrastructure spending, 2026 (Gartner)</t>
  </si>
  <si>
    <t xml:space="preserve">16 Sep 2026</t>
  </si>
  <si>
    <t xml:space="preserve">Gartner, Worldwide AI Spending to Grow 49.5% in 2026. https://www.gartner.com/en/newsroom/press-releases/2026-09-16-gartner-forecasts-worldwide-ai-spending-to-grow-49-point-5-percent-in-2026</t>
  </si>
  <si>
    <t xml:space="preserve">providers_2026</t>
  </si>
  <si>
    <t xml:space="preserve">AI providers' AI infrastructure spend, 2026 (Gartner)</t>
  </si>
  <si>
    <t xml:space="preserve">14 Oct 2026</t>
  </si>
  <si>
    <t xml:space="preserve">Gartner: AI providers expected to spend nearly $1 trillion on AI infrastructure in 2026 and $6 trillion more 2027-2030. https://www.gartner.com/en/newsroom/press-releases/2026-10-14-gartner-says-over-us-dollars-three-and-a-half-trillion-of-artificial-intelligence-infrastructure-spending-could-be-exposed-to-impairment-by-the-end-of-2030</t>
  </si>
  <si>
    <t xml:space="preserve">hyper_capex</t>
  </si>
  <si>
    <t xml:space="preserve">Four US hyperscalers' 2026 capex guidance</t>
  </si>
  <si>
    <t xml:space="preserve">Oct 2026</t>
  </si>
  <si>
    <t xml:space="preserve">State of AI Report 2026 (~$733B); J.P. Morgan estimates $697B; Carnegie ~$670B. https://www.stateof.ai/</t>
  </si>
  <si>
    <t xml:space="preserve">Public funding commitments (Path C)</t>
  </si>
  <si>
    <t xml:space="preserve">eu_giga</t>
  </si>
  <si>
    <t xml:space="preserve">EU and national funding for AI Gigafactories</t>
  </si>
  <si>
    <t xml:space="preserve">EUR B</t>
  </si>
  <si>
    <t xml:space="preserve">12 Aug 2026</t>
  </si>
  <si>
    <t xml:space="preserve">European Commission AI Factories page: up to EUR 10B EU and national funding, to unlock at least EUR 20B private; up to seven gigafactories of &gt;100,000 processors. https://digital-strategy.ec.europa.eu/en/policies/ai-factories</t>
  </si>
  <si>
    <t xml:space="preserve">eu_factories</t>
  </si>
  <si>
    <t xml:space="preserve">EuroHPC supercomputing and AI Factories budget, 2021-2027</t>
  </si>
  <si>
    <t xml:space="preserve">Same page (EUR 10B over 2021-2027; 19 AI Factories selected).</t>
  </si>
  <si>
    <t xml:space="preserve">eu_years</t>
  </si>
  <si>
    <t xml:space="preserve">Years over which the EU money is spent</t>
  </si>
  <si>
    <t xml:space="preserve">years</t>
  </si>
  <si>
    <t xml:space="preserve">2026-2030 for gigafactories; AI Factories run 2021-2027.</t>
  </si>
  <si>
    <t xml:space="preserve">eur_usd</t>
  </si>
  <si>
    <t xml:space="preserve">EUR to USD</t>
  </si>
  <si>
    <t xml:space="preserve">USD per EUR</t>
  </si>
  <si>
    <t xml:space="preserve">Approximate 2026 rate. My figure.</t>
  </si>
  <si>
    <t xml:space="preserve">jp_budget</t>
  </si>
  <si>
    <t xml:space="preserve">Japan METI/NEDO/IPA AI and semiconductor budget, FY2026</t>
  </si>
  <si>
    <t xml:space="preserve">May 2026</t>
  </si>
  <si>
    <t xml:space="preserve">Augur, Who Owns AI? (~JPY 1.23T). Includes Rapidus. https://whoownsai.org/who-owns-ai.pdf</t>
  </si>
  <si>
    <t xml:space="preserve">jp_compute_share</t>
  </si>
  <si>
    <t xml:space="preserve">Share of Japan's budget that is compute rather than fabs</t>
  </si>
  <si>
    <t xml:space="preserve">Rapidus takes the majority. METI GPU cloud subsidies were JPY 72.5B; GENIAC adds compute. 40%. Lever.</t>
  </si>
  <si>
    <t xml:space="preserve">jp_rubin_inv</t>
  </si>
  <si>
    <t xml:space="preserve">Japan Rubin consortium (Noetra) planned investment over five years</t>
  </si>
  <si>
    <t xml:space="preserve">Jul 2026</t>
  </si>
  <si>
    <t xml:space="preserve">Spheron: ~JPY 1 trillion over five years behind 27,500 Rubin GPUs. https://www.spheron.network/blog/gpu-cloud-providers-japan-2026/</t>
  </si>
  <si>
    <t xml:space="preserve">kr_gpus_gov</t>
  </si>
  <si>
    <t xml:space="preserve">Korea MSIT sovereign GPUs (National AI Computing Center and sovereign clouds)</t>
  </si>
  <si>
    <t xml:space="preserve">GPUs</t>
  </si>
  <si>
    <t xml:space="preserve">31 Oct 2025</t>
  </si>
  <si>
    <t xml:space="preserve">NVIDIA press release: up to 50,000 GPUs via MSIT, initial 13,000 Blackwell. https://investor.nvidia.com/news/press-release-details/2025/NVIDIA-South-Korea-Government-and-Industrial-Giants-Build-AI-Infrastructure-and-Ecosystem-to-Fuel-Korea-Innovation-Industries-and-Jobs/default.aspx</t>
  </si>
  <si>
    <t xml:space="preserve">kr_years</t>
  </si>
  <si>
    <t xml:space="preserve">Years over which Korea's government GPUs deploy</t>
  </si>
  <si>
    <t xml:space="preserve">Same release ('over the next several years').</t>
  </si>
  <si>
    <t xml:space="preserve">in_budget</t>
  </si>
  <si>
    <t xml:space="preserve">IndiaAI Mission public commitment over five years</t>
  </si>
  <si>
    <t xml:space="preserve">MarketsandMarkets: exceeding $1B over five years. https://finance.yahoo.com/technology/ai/articles/sovereign-ai-market-reach-usd-151500186.html</t>
  </si>
  <si>
    <t xml:space="preserve">uk_budget</t>
  </si>
  <si>
    <t xml:space="preserve">UK AI compute commitments (AI and quantum package, AIRR to 2030, Sovereign AI Unit)</t>
  </si>
  <si>
    <t xml:space="preserve">GBP B</t>
  </si>
  <si>
    <t xml:space="preserve">Augur: GBP 2.5B AI+quantum package (Mar 2026), AIRR &gt;GBP 1B by 2030, Sovereign AI Unit GBP 500M, GBP 80M procurement. https://whoownsai.org/who-owns-ai.pdf</t>
  </si>
  <si>
    <t xml:space="preserve">uk_years</t>
  </si>
  <si>
    <t xml:space="preserve">Years over which UK money is spent</t>
  </si>
  <si>
    <t xml:space="preserve">To 2030.</t>
  </si>
  <si>
    <t xml:space="preserve">gbp_usd</t>
  </si>
  <si>
    <t xml:space="preserve">GBP to USD</t>
  </si>
  <si>
    <t xml:space="preserve">USD per GBP</t>
  </si>
  <si>
    <t xml:space="preserve">Approximate. My figure.</t>
  </si>
  <si>
    <t xml:space="preserve">fr_bpi</t>
  </si>
  <si>
    <t xml:space="preserve">Bpifrance AI commitment by 2029</t>
  </si>
  <si>
    <t xml:space="preserve">Feb 2025</t>
  </si>
  <si>
    <t xml:space="preserve">Augur / TechCrunch 7 Feb 2025. https://whoownsai.org/who-owns-ai.pdf</t>
  </si>
  <si>
    <t xml:space="preserve">fr_years</t>
  </si>
  <si>
    <t xml:space="preserve">Years for Bpifrance commitment</t>
  </si>
  <si>
    <t xml:space="preserve">2025-2029.</t>
  </si>
  <si>
    <t xml:space="preserve">my_budget</t>
  </si>
  <si>
    <t xml:space="preserve">Malaysia 2026 budget for AI incl. sovereign AI cloud</t>
  </si>
  <si>
    <t xml:space="preserve">Introl: MYR 5.9B ($1.41B) for AI; Digital in Asia: MYR 2.1B (~$490M) for a sovereign AI cloud. https://introl.com/blog/malaysia-thailand-emerging-ai-data-center-hubs-southeast-asia</t>
  </si>
  <si>
    <t xml:space="preserve">sa_nif</t>
  </si>
  <si>
    <t xml:space="preserve">Saudi National Infrastructure Fund financing framework for HUMAIN (250 MW)</t>
  </si>
  <si>
    <t xml:space="preserve">2025</t>
  </si>
  <si>
    <t xml:space="preserve">Saudi Market Research Consulting summary of HUMAIN/Infra agreement (non-binding). https://saudimarketresearchconsulting.com/insights/articles/humain-saudi-arabia-a-bold-sovereign-ai-push-reshaping-infrastructure-and-markets</t>
  </si>
  <si>
    <t xml:space="preserve">ca_budget</t>
  </si>
  <si>
    <t xml:space="preserve">Canada Sovereign AI Compute Strategy</t>
  </si>
  <si>
    <t xml:space="preserve">CAD B</t>
  </si>
  <si>
    <t xml:space="preserve">2024-2025</t>
  </si>
  <si>
    <t xml:space="preserve">Canadian federal budget commitment, widely reported; order of magnitude. My figure.</t>
  </si>
  <si>
    <t xml:space="preserve">cad_usd</t>
  </si>
  <si>
    <t xml:space="preserve">CAD to USD</t>
  </si>
  <si>
    <t xml:space="preserve">USD per CAD</t>
  </si>
  <si>
    <t xml:space="preserve">ca_years</t>
  </si>
  <si>
    <t xml:space="preserve">Years for Canada's programme</t>
  </si>
  <si>
    <t xml:space="preserve">leverage</t>
  </si>
  <si>
    <t xml:space="preserve">Private and sovereign-wealth capital mobilised per dollar of public budget</t>
  </si>
  <si>
    <t xml:space="preserve">x</t>
  </si>
  <si>
    <t xml:space="preserve">The Commission targets 10x private leverage for gigafactories; Japan's Noetra is 44 private companies behind public subsidy; Gulf capital is sovereign wealth rather than budget. 2x is deliberately conservative. Lever.</t>
  </si>
  <si>
    <t xml:space="preserve">Cost of a gigawatt (Epoch AI, GB200 NVL72 build, US hyperscaler)</t>
  </si>
  <si>
    <t xml:space="preserve">capex_gw</t>
  </si>
  <si>
    <t xml:space="preserve">Up-front capex for a 1 GW IT-load AI data center</t>
  </si>
  <si>
    <t xml:space="preserve">19 May 2026</t>
  </si>
  <si>
    <t xml:space="preserve">Epoch AI, Total cost of ownership of a one-gigawatt AI data center. https://epoch.ai/data-insights/ai-datacenter-cost-breakdown</t>
  </si>
  <si>
    <t xml:space="preserve">opex_gw</t>
  </si>
  <si>
    <t xml:space="preserve">Annual operating cost for 1 GW</t>
  </si>
  <si>
    <t xml:space="preserve">$B per year</t>
  </si>
  <si>
    <t xml:space="preserve">14 May 2026</t>
  </si>
  <si>
    <t xml:space="preserve">Same source ($0.9B/yr).</t>
  </si>
  <si>
    <t xml:space="preserve">tco_gw_yr</t>
  </si>
  <si>
    <t xml:space="preserve">Annualised total cost of ownership for 1 GW</t>
  </si>
  <si>
    <t xml:space="preserve">Same source ($8.5B/yr; servers $5B = 60%; network $1.4B; facility $1.2B; energy $590M; labour $140M; maintenance $120M).</t>
  </si>
  <si>
    <t xml:space="preserve">energy_gw_yr</t>
  </si>
  <si>
    <t xml:space="preserve">Energy cost for 1 GW per year (US)</t>
  </si>
  <si>
    <t xml:space="preserve">Same source.</t>
  </si>
  <si>
    <t xml:space="preserve">server_life</t>
  </si>
  <si>
    <t xml:space="preserve">IT equipment lifespan assumed</t>
  </si>
  <si>
    <t xml:space="preserve">Epoch: 3 years gives $12B/yr, 7 years gives $7B/yr; the base case implies about 4. With facility over 10 years this reproduces Epoch's $8.5B/yr within 2%.</t>
  </si>
  <si>
    <t xml:space="preserve">facility_life</t>
  </si>
  <si>
    <t xml:space="preserve">Facility, network and electrical lifespan</t>
  </si>
  <si>
    <t xml:space="preserve">Buildings last longer, network and electrical gear less. 10 years blended.</t>
  </si>
  <si>
    <t xml:space="preserve">hurdle</t>
  </si>
  <si>
    <t xml:space="preserve">Cost of capital applied to capex (Gartner hurdle rate)</t>
  </si>
  <si>
    <t xml:space="preserve">Gartner assumes a 12% return on invested capital as the hurdle for AI data center owners. https://www.gartner.com/en/newsroom/press-releases/2026-10-14-gartner-says-over-us-dollars-three-and-a-half-trillion-of-artificial-intelligence-infrastructure-spending-could-be-exposed-to-impairment-by-the-end-of-2030</t>
  </si>
  <si>
    <t xml:space="preserve">rack_kw</t>
  </si>
  <si>
    <t xml:space="preserve">GB200 NVL72 rack power</t>
  </si>
  <si>
    <t xml:space="preserve">kW</t>
  </si>
  <si>
    <t xml:space="preserve">Widely reported; GB300 racks 135-140 kW (vision2030.ai citing Tom's Hardware). https://vision2030.ai/analysis/humain-ai-infrastructure/</t>
  </si>
  <si>
    <t xml:space="preserve">rack_gpus</t>
  </si>
  <si>
    <t xml:space="preserve">GPUs per NVL72 rack</t>
  </si>
  <si>
    <t xml:space="preserve">gb300_rack_kw</t>
  </si>
  <si>
    <t xml:space="preserve">GB300 NVL72 rack power</t>
  </si>
  <si>
    <t xml:space="preserve">135-140 kW (vision2030.ai). Midpoint.</t>
  </si>
  <si>
    <t xml:space="preserve">util</t>
  </si>
  <si>
    <t xml:space="preserve">Utilisation of a sovereign AI factory</t>
  </si>
  <si>
    <t xml:space="preserve">Carnegie and BloombergNEF assume ~70% (BNEF: 69% average by 2035). Lever.</t>
  </si>
  <si>
    <t xml:space="preserve">hours</t>
  </si>
  <si>
    <t xml:space="preserve">Hours per year</t>
  </si>
  <si>
    <t xml:space="preserve">us_power</t>
  </si>
  <si>
    <t xml:space="preserve">US industrial electricity price</t>
  </si>
  <si>
    <t xml:space="preserve">$ per kWh</t>
  </si>
  <si>
    <t xml:space="preserve">EIA Electricity Monthly Update, end use, July 2026. https://www.eia.gov/electricity/monthly/update/end-use.php</t>
  </si>
  <si>
    <t xml:space="preserve">delay_1y</t>
  </si>
  <si>
    <t xml:space="preserve">Lifecycle value lost by a one-year delay to a US data center</t>
  </si>
  <si>
    <t xml:space="preserve">Carnegie: &gt;5% of total value (&gt;$500M on a 100 MW facility); 1.5-year delay -8.9%, 6-month -3.6%, 3-month -1.7%. https://carnegieendowment.org/research/2026/06/the-compute-coalition-how-to-build-the-future-of-ai-in-the-free-world</t>
  </si>
  <si>
    <t xml:space="preserve">delay_cost_100mw</t>
  </si>
  <si>
    <t xml:space="preserve">Lifecycle value lost by a one-year delay to a 100 MW US data center</t>
  </si>
  <si>
    <t xml:space="preserve">$M</t>
  </si>
  <si>
    <t xml:space="preserve">Same source (more than $500 million).</t>
  </si>
  <si>
    <t xml:space="preserve">gb200_hr</t>
  </si>
  <si>
    <t xml:space="preserve">GB200 lowest on-demand rental price</t>
  </si>
  <si>
    <t xml:space="preserve">$ per GPU-hour</t>
  </si>
  <si>
    <t xml:space="preserve">Carnegie citing getdeploying.com (CoreWeave). Carnegie models $10.</t>
  </si>
  <si>
    <t xml:space="preserve">Country factors (Carnegie Compute Coalition lifecycle value index, US = 0)</t>
  </si>
  <si>
    <t xml:space="preserve">cf_uae</t>
  </si>
  <si>
    <t xml:space="preserve">Lifecycle value of a data center in UAE relative to the US, no delay</t>
  </si>
  <si>
    <t xml:space="preserve">Carnegie Endowment, The Compute Coalition, country ranking figure. UK industrial power ~3x US; Germany has the longest timelines.</t>
  </si>
  <si>
    <t xml:space="preserve">cf_us</t>
  </si>
  <si>
    <t xml:space="preserve">Lifecycle value of a data center in United States relative to the US, no delay</t>
  </si>
  <si>
    <t xml:space="preserve">cf_fi</t>
  </si>
  <si>
    <t xml:space="preserve">Lifecycle value of a data center in Finland relative to the US, no delay</t>
  </si>
  <si>
    <t xml:space="preserve">cf_ca</t>
  </si>
  <si>
    <t xml:space="preserve">Lifecycle value of a data center in Canada relative to the US, no delay</t>
  </si>
  <si>
    <t xml:space="preserve">cf_in</t>
  </si>
  <si>
    <t xml:space="preserve">Lifecycle value of a data center in India relative to the US, no delay</t>
  </si>
  <si>
    <t xml:space="preserve">cf_fr</t>
  </si>
  <si>
    <t xml:space="preserve">Lifecycle value of a data center in France relative to the US, no delay</t>
  </si>
  <si>
    <t xml:space="preserve">cf_kr</t>
  </si>
  <si>
    <t xml:space="preserve">Lifecycle value of a data center in South Korea relative to the US, no delay</t>
  </si>
  <si>
    <t xml:space="preserve">cf_au</t>
  </si>
  <si>
    <t xml:space="preserve">Lifecycle value of a data center in Australia relative to the US, no delay</t>
  </si>
  <si>
    <t xml:space="preserve">cf_uk</t>
  </si>
  <si>
    <t xml:space="preserve">Lifecycle value of a data center in United Kingdom relative to the US, no delay</t>
  </si>
  <si>
    <t xml:space="preserve">cf_de</t>
  </si>
  <si>
    <t xml:space="preserve">Lifecycle value of a data center in Germany relative to the US, no delay</t>
  </si>
  <si>
    <t xml:space="preserve">power_sa</t>
  </si>
  <si>
    <t xml:space="preserve">Industrial electricity price, Saudi Arabia</t>
  </si>
  <si>
    <t xml:space="preserve">Regulated industrial tariff plus solar PPAs at record lows (Sakaka, Al Shuaibah, Sudair cited by vision2030.ai). 5 cents. Lever.</t>
  </si>
  <si>
    <t xml:space="preserve">power_kr</t>
  </si>
  <si>
    <t xml:space="preserve">Industrial electricity price, South Korea</t>
  </si>
  <si>
    <t xml:space="preserve">Carnegie ranks Korea -12.5% and notes prices 23% above the model band. 13 cents.</t>
  </si>
  <si>
    <t xml:space="preserve">power_de</t>
  </si>
  <si>
    <t xml:space="preserve">Industrial electricity price, Germany</t>
  </si>
  <si>
    <t xml:space="preserve">Carnegie: UK ~3x US; Germany similar order. 18 cents.</t>
  </si>
  <si>
    <t xml:space="preserve">power_in</t>
  </si>
  <si>
    <t xml:space="preserve">Industrial electricity price, India</t>
  </si>
  <si>
    <t xml:space="preserve">Carnegie ranks India -4.8%. 9 cents.</t>
  </si>
  <si>
    <t xml:space="preserve">power_th</t>
  </si>
  <si>
    <t xml:space="preserve">Industrial electricity price, Thailand</t>
  </si>
  <si>
    <t xml:space="preserve">Gas-heavy grid, 46 GW installed (Introl). 12 cents.</t>
  </si>
  <si>
    <t xml:space="preserve">pue_gulf</t>
  </si>
  <si>
    <t xml:space="preserve">PUE in the Gulf (hot climate, liquid cooling)</t>
  </si>
  <si>
    <t xml:space="preserve">PUE</t>
  </si>
  <si>
    <t xml:space="preserve">Liquid-cooled NVL72 helps; ambient hurts.</t>
  </si>
  <si>
    <t xml:space="preserve">pue_eu</t>
  </si>
  <si>
    <t xml:space="preserve">PUE in northern Europe / Korea</t>
  </si>
  <si>
    <t xml:space="preserve">HRT Lefdal 1.15; enterprise 1.2-1.5.</t>
  </si>
  <si>
    <t xml:space="preserve">delay_de</t>
  </si>
  <si>
    <t xml:space="preserve">Extra years to energise in Germany vs US</t>
  </si>
  <si>
    <t xml:space="preserve">Carnegie: Germany fares worst on timelines; Northumberland (UK) 720 MW takes 9 years vs Stargate UAE 1.4 GW in ~2.5 years (Epoch). 1.5 years. Lever.</t>
  </si>
  <si>
    <t xml:space="preserve">war_ins</t>
  </si>
  <si>
    <t xml:space="preserve">Gulf war-risk and country premium applied to data center capex per year</t>
  </si>
  <si>
    <t xml:space="preserve">fraction of capex per year</t>
  </si>
  <si>
    <t xml:space="preserve">1 Apr 2026</t>
  </si>
  <si>
    <t xml:space="preserve">Semafor via Carnegie: Gulf war insurance rose 19x to $5M per $100M of coverage (5%) with reduced limits. Not all capex is insured at that rate. 2.5%. Lever.</t>
  </si>
  <si>
    <t xml:space="preserve">Pricing inputs ($ per GPU-hour, list, read Sep-Oct 2026)</t>
  </si>
  <si>
    <t xml:space="preserve">p_aws_eu</t>
  </si>
  <si>
    <t xml:space="preserve">AWS p5 H100, Stockholm</t>
  </si>
  <si>
    <t xml:space="preserve">Sep-Oct 2026</t>
  </si>
  <si>
    <t xml:space="preserve">Qovery, Sep 2026 list. https://www.qovery.com/blog/european-gpu-cloud-alternatives-aws-azure-comparison</t>
  </si>
  <si>
    <t xml:space="preserve">p_azure_eu</t>
  </si>
  <si>
    <t xml:space="preserve">Azure ND H100 v5, West Europe</t>
  </si>
  <si>
    <t xml:space="preserve">Qovery, Sep 2026.</t>
  </si>
  <si>
    <t xml:space="preserve">p_scaleway</t>
  </si>
  <si>
    <t xml:space="preserve">Scaleway H100 PCIe, Paris (EUR 2.87)</t>
  </si>
  <si>
    <t xml:space="preserve">Qovery, Sep 2026, converted at 1.08.</t>
  </si>
  <si>
    <t xml:space="preserve">p_ovh</t>
  </si>
  <si>
    <t xml:space="preserve">OVHcloud H100, Gravelines</t>
  </si>
  <si>
    <t xml:space="preserve">Qovery / Spheron, Sep-Oct 2026. https://www.spheron.network/blog/ovhcloud-gpu-pricing-2026-h100-cost-and-sovereign-ai/</t>
  </si>
  <si>
    <t xml:space="preserve">p_verda_b200</t>
  </si>
  <si>
    <t xml:space="preserve">Verda B200, Finland</t>
  </si>
  <si>
    <t xml:space="preserve">p_nebius_b200</t>
  </si>
  <si>
    <t xml:space="preserve">Nebius B200</t>
  </si>
  <si>
    <t xml:space="preserve">computeprices.com, 14 Oct 2026. https://computeprices.com/providers/nebius</t>
  </si>
  <si>
    <t xml:space="preserve">p_nebius_h100</t>
  </si>
  <si>
    <t xml:space="preserve">Nebius H100 SXM</t>
  </si>
  <si>
    <t xml:space="preserve">Same.</t>
  </si>
  <si>
    <t xml:space="preserve">p_coreweave_h100</t>
  </si>
  <si>
    <t xml:space="preserve">CoreWeave HGX H100, UK/Norway/Sweden/Spain</t>
  </si>
  <si>
    <t xml:space="preserve">p_sakura</t>
  </si>
  <si>
    <t xml:space="preserve">Sakura Internet H100, Japan (JPY 990)</t>
  </si>
  <si>
    <t xml:space="preserve">Spheron, Oct 2026. https://www.spheron.network/blog/gpu-cloud-providers-japan-2026/</t>
  </si>
  <si>
    <t xml:space="preserve">p_aws_jp</t>
  </si>
  <si>
    <t xml:space="preserve">AWS Japan H100</t>
  </si>
  <si>
    <t xml:space="preserve">Spheron, Oct 2026.</t>
  </si>
  <si>
    <t xml:space="preserve">p_india_sub</t>
  </si>
  <si>
    <t xml:space="preserve">IndiaAI subsidised high-end GPU rate (INR 150)</t>
  </si>
  <si>
    <t xml:space="preserve">MeitY / IndiaAI; INR 65-150 vs INR 210-335 commercial. https://indiaai.gov.in/hub/indiaai-compute-capacity</t>
  </si>
  <si>
    <t xml:space="preserve">p_india_com</t>
  </si>
  <si>
    <t xml:space="preserve">Commercial H100 rate in India (INR 300 midpoint)</t>
  </si>
  <si>
    <t xml:space="preserve">Fundingsstartup summary of IndiaAI comparison.</t>
  </si>
  <si>
    <t xml:space="preserve">p_h100_median</t>
  </si>
  <si>
    <t xml:space="preserve">Global H100 on-demand median (NVIDIA index)</t>
  </si>
  <si>
    <t xml:space="preserve">NVIDIA, Aug 2026 (June reading). https://blogs.nvidia.com/blog/nvidia-ai-factory-compute/</t>
  </si>
  <si>
    <t xml:space="preserve">nvda_gm</t>
  </si>
  <si>
    <t xml:space="preserve">NVIDIA gross margin, Q2 FY27</t>
  </si>
  <si>
    <t xml:space="preserve">Aug 2026</t>
  </si>
  <si>
    <t xml:space="preserve">NVIDIA Q2 FY27 release. https://nvidianews.nvidia.com/news/nvidia-announces-financial-results-for-second-quarter-fiscal-2027</t>
  </si>
  <si>
    <t xml:space="preserve">gb300_chip</t>
  </si>
  <si>
    <t xml:space="preserve">GB300 chip value implied by US export approvals</t>
  </si>
  <si>
    <t xml:space="preserve">$ per chip</t>
  </si>
  <si>
    <t xml:space="preserve">Nov 2025</t>
  </si>
  <si>
    <t xml:space="preserve">vision2030.ai: 35,000 GB300-equivalent chips estimated at ~$1B, i.e. ~$28.6k each. Street B300 ~$53k (tech-insider). The gap is the allocation-price vs street-price spread.</t>
  </si>
  <si>
    <t xml:space="preserve">Value inputs</t>
  </si>
  <si>
    <t xml:space="preserve">pwc_gdp</t>
  </si>
  <si>
    <t xml:space="preserve">AI contribution to global GDP by 2030 (PwC)</t>
  </si>
  <si>
    <t xml:space="preserve">$T</t>
  </si>
  <si>
    <t xml:space="preserve">2017</t>
  </si>
  <si>
    <t xml:space="preserve">PwC Sizing the Prize, via WEF. https://www.weforum.org/stories/geographies-in-depth/the-global-economy-will-be-14-bigger-in-2030-because-of-ai</t>
  </si>
  <si>
    <t xml:space="preserve">pwc_pct</t>
  </si>
  <si>
    <t xml:space="preserve">GDP uplift by 2030 (PwC)</t>
  </si>
  <si>
    <t xml:space="preserve">idc_gdp</t>
  </si>
  <si>
    <t xml:space="preserve">Cumulative AI economic impact through 2030 (IDC)</t>
  </si>
  <si>
    <t xml:space="preserve">2024</t>
  </si>
  <si>
    <t xml:space="preserve">IDC: $19.9T, 3.5% of global GDP in 2030. https://my.idc.com/getdoc.jsp?containerId=prUS52600524</t>
  </si>
  <si>
    <t xml:space="preserve">th_value</t>
  </si>
  <si>
    <t xml:space="preserve">Economic value of Google's Bangkok cloud region over five years</t>
  </si>
  <si>
    <t xml:space="preserve">21 Jan 2026</t>
  </si>
  <si>
    <t xml:space="preserve">Google Cloud / Public First: THB 1.4T. https://www.googlecloudpresscorner.com/2026-01-21-Google-Cloud-Launches-New-Cloud-Region-in-Thailand,-Bolstering-its-Commitment-to-Advancing-the-Countrys-AI-Driven-Digital-Economy</t>
  </si>
  <si>
    <t xml:space="preserve">th_invest</t>
  </si>
  <si>
    <t xml:space="preserve">Google's Thailand investment behind it</t>
  </si>
  <si>
    <t xml:space="preserve">anthropic_ratio</t>
  </si>
  <si>
    <t xml:space="preserve">Frontier lab revenue per dollar of compute</t>
  </si>
  <si>
    <t xml:space="preserve">$ revenue per $ compute</t>
  </si>
  <si>
    <t xml:space="preserve">15 Oct 2026</t>
  </si>
  <si>
    <t xml:space="preserve">Fortune: Anthropic told investors $1.70 of revenue per $1 of compute; Q3 revenue $16.8B. https://fortune.com/2026/10/15/nvidias-european-spending-spree-is-about-much-more-than-europe/</t>
  </si>
  <si>
    <t xml:space="preserve">gartner_rev_need</t>
  </si>
  <si>
    <t xml:space="preserve">Cumulative revenue AI data center owners need through 2030 (Gartner)</t>
  </si>
  <si>
    <t xml:space="preserve">Gartner: to cover capex, financing and 12% ROIC. https://www.gartner.com/en/newsroom/press-releases/2026-10-14-gartner-says-over-us-dollars-three-and-a-half-trillion-of-artificial-intelligence-infrastructure-spending-could-be-exposed-to-impairment-by-the-end-of-2030</t>
  </si>
  <si>
    <t xml:space="preserve">gartner_rev_have</t>
  </si>
  <si>
    <t xml:space="preserve">AI revenue attributable to AI data centers through 2030 (Gartner)</t>
  </si>
  <si>
    <t xml:space="preserve">Same (no more than $3.6T).</t>
  </si>
  <si>
    <t xml:space="preserve">gartner_impair</t>
  </si>
  <si>
    <t xml:space="preserve">AI infrastructure exposed to impairment by end-2030 (Gartner)</t>
  </si>
  <si>
    <t xml:space="preserve">Same (&gt;$3.5T; &gt;$4T through 2032; 80% of neoclouds cease independent operation by 2030).</t>
  </si>
  <si>
    <t xml:space="preserve">gdp_sa</t>
  </si>
  <si>
    <t xml:space="preserve">Saudi Arabia GDP</t>
  </si>
  <si>
    <t xml:space="preserve">Approximate nominal GDP. My figure.</t>
  </si>
  <si>
    <t xml:space="preserve">gdp_kr</t>
  </si>
  <si>
    <t xml:space="preserve">South Korea GDP</t>
  </si>
  <si>
    <t xml:space="preserve">gdp_eu</t>
  </si>
  <si>
    <t xml:space="preserve">EU GDP</t>
  </si>
  <si>
    <t xml:space="preserve">gdp_in</t>
  </si>
  <si>
    <t xml:space="preserve">India GDP</t>
  </si>
  <si>
    <t xml:space="preserve">gdp_th</t>
  </si>
  <si>
    <t xml:space="preserve">Thailand GDP</t>
  </si>
  <si>
    <t xml:space="preserve">ai_share_gdp</t>
  </si>
  <si>
    <t xml:space="preserve">Share of PwC's AI GDP uplift that depends on in-country compute (vs imported services)</t>
  </si>
  <si>
    <t xml:space="preserve">Most AI value is consumed as software and services that can run anywhere. Sovereign compute captures the part that must be local (regulated data, defence, latency, language). 25%. Lever.</t>
  </si>
  <si>
    <t xml:space="preserve">Bottom-up: sovereign AI compute programmes, capacity announced and energised in 2026</t>
  </si>
  <si>
    <t xml:space="preserve">MW are IT load. Energised-in-2026 is my estimate from each programme's disclosed phases. Capex per MW from Epoch ($38B/GW). GPUs per MW from NVL72 rack density. $M unless noted.</t>
  </si>
  <si>
    <t xml:space="preserve">Programme</t>
  </si>
  <si>
    <t xml:space="preserve">Quadrant</t>
  </si>
  <si>
    <t xml:space="preserve">Country</t>
  </si>
  <si>
    <t xml:space="preserve">Announced MW (IT)</t>
  </si>
  <si>
    <t xml:space="preserve">Target year</t>
  </si>
  <si>
    <t xml:space="preserve">MW energised by end-2026</t>
  </si>
  <si>
    <t xml:space="preserve">GPUs announced</t>
  </si>
  <si>
    <t xml:space="preserve">GPUs implied in 2026 (MW x GPUs/MW)</t>
  </si>
  <si>
    <t xml:space="preserve">Capex energised 2026 ($M)</t>
  </si>
  <si>
    <t xml:space="preserve">Of which GPU systems ($M)</t>
  </si>
  <si>
    <t xml:space="preserve">Announced capex to target ($B)</t>
  </si>
  <si>
    <t xml:space="preserve">Source note</t>
  </si>
  <si>
    <t xml:space="preserve">HUMAIN (PIF) AI factories incl. xAI 500 MW+, AMD 1 GW, stc 1 GW</t>
  </si>
  <si>
    <t xml:space="preserve">Compute exporters</t>
  </si>
  <si>
    <t xml:space="preserve">Saudi Arabia</t>
  </si>
  <si>
    <t xml:space="preserve">1.9 GW by 2030, 6.6 GW by 2034; 50 MW pilot with 18,000 GB300 live 2026; AMD first 100 MW phase 2026. vision2030.ai; Saudi MRC.</t>
  </si>
  <si>
    <t xml:space="preserve">Stargate UAE (G42, OpenAI, Oracle) within 5 GW campus</t>
  </si>
  <si>
    <t xml:space="preserve">UAE</t>
  </si>
  <si>
    <t xml:space="preserve">1 GW first phase ~$20B; 200 MW live 2026 (OpenAI, G42, Zawya).</t>
  </si>
  <si>
    <t xml:space="preserve">AWS Riyadh AI Zone (HUMAIN) and other Gulf (Qatar, QIA-Brookfield $20B JV)</t>
  </si>
  <si>
    <t xml:space="preserve">Gulf other</t>
  </si>
  <si>
    <t xml:space="preserve">AWS up to 150,000 accelerators in Riyadh, 100 MW with gigawatt ambition; QIA-Brookfield JV. My capacity estimate.</t>
  </si>
  <si>
    <t xml:space="preserve">Korea sovereign GPUs: MSIT 50k, SK 50k, Hyundai 50k, NAVER 60k</t>
  </si>
  <si>
    <t xml:space="preserve">Industrial sovereigns</t>
  </si>
  <si>
    <t xml:space="preserve">South Korea</t>
  </si>
  <si>
    <t xml:space="preserve">NVIDIA release 31 Oct 2025: &gt;260,000 GPUs. MW derived at ~1.9 kW per GPU installed.</t>
  </si>
  <si>
    <t xml:space="preserve">Japan: Noetra 27,500 Rubin, SoftBank GB200 cloud, Sakura 22k GPUs, METI JPY 72.5B subsidies</t>
  </si>
  <si>
    <t xml:space="preserve">Japan</t>
  </si>
  <si>
    <t xml:space="preserve">Spheron Oct 2026; GPU count sums Rubin 27.5k, Sakura ~21k, SoftBank est. 10k.</t>
  </si>
  <si>
    <t xml:space="preserve">Taiwan NT$100B AI initiative and national AI supercomputer</t>
  </si>
  <si>
    <t xml:space="preserve">Taiwan</t>
  </si>
  <si>
    <t xml:space="preserve">Augur (Jun 2025 initiative). ~10,000 Blackwell class. My MW estimate.</t>
  </si>
  <si>
    <t xml:space="preserve">EU AI Gigafactories (up to 7 x 100,000 processors)</t>
  </si>
  <si>
    <t xml:space="preserve">Regulated builders</t>
  </si>
  <si>
    <t xml:space="preserve">EU</t>
  </si>
  <si>
    <t xml:space="preserve">EC: tenders launched Aug 2026; EUR 10B public to unlock EUR 20B private. Nothing energised in 2026. 5 x 100k chips x ~2 kW.</t>
  </si>
  <si>
    <t xml:space="preserve">EuroHPC AI Factories (19 selected, first 6 live Oct 2025)</t>
  </si>
  <si>
    <t xml:space="preserve">EC; Augur. ~15 MW average each. My estimate.</t>
  </si>
  <si>
    <t xml:space="preserve">France: AI Campus JV 1.4 GW (ops 2028), Mistral Compute 40 MW (18,000 GB chips), UAE-France 1 GW</t>
  </si>
  <si>
    <t xml:space="preserve">France</t>
  </si>
  <si>
    <t xml:space="preserve">Augur; Mistral Compute 40 MW live 2026 + early campus works.</t>
  </si>
  <si>
    <t xml:space="preserve">Germany: Deutsche Telekom Industrial AI Cloud, 10,000 Blackwell GPUs, Munich</t>
  </si>
  <si>
    <t xml:space="preserve">Germany</t>
  </si>
  <si>
    <t xml:space="preserve">Telekom 4 Nov 2025; live Q1 2026; &gt;1,000 DGX B200 at 14.3 kW.</t>
  </si>
  <si>
    <t xml:space="preserve">UK: Nscale 58,640 GPUs incl. Loughton 50-90 MW (Q1 2027), Stargate UK, Isambard, AIRR</t>
  </si>
  <si>
    <t xml:space="preserve">UK</t>
  </si>
  <si>
    <t xml:space="preserve">Nscale 16 Sep 2025; OpenAI Stargate UK. Loughton delivers Q1 2027.</t>
  </si>
  <si>
    <t xml:space="preserve">Nordics and other EU national (Denmark Gefion, Italy, Spain, Switzerland Alps, Norway)</t>
  </si>
  <si>
    <t xml:space="preserve">Europe other</t>
  </si>
  <si>
    <t xml:space="preserve">My estimate of national supercomputer and sovereign cloud builds.</t>
  </si>
  <si>
    <t xml:space="preserve">IndiaAI Mission GPU pool (38,000-45,000 GPUs, subsidised at INR 150/hr)</t>
  </si>
  <si>
    <t xml:space="preserve">Subsidised tenants</t>
  </si>
  <si>
    <t xml:space="preserve">India</t>
  </si>
  <si>
    <t xml:space="preserve">MeitY; 45,000+ GPUs available Jun 2026. ~2 kW per GPU installed.</t>
  </si>
  <si>
    <t xml:space="preserve">Malaysia: YTL 600 MW NVIDIA sovereign AI DC (Kulai), MYR 2.1B sovereign AI cloud</t>
  </si>
  <si>
    <t xml:space="preserve">Malaysia</t>
  </si>
  <si>
    <t xml:space="preserve">Introl Dec 2025; Digital in Asia 2026.</t>
  </si>
  <si>
    <t xml:space="preserve">Thailand: Gulf 2 GW AI DC plan, Siam AI, Google/Microsoft/AWS regions, BOI THB 521B approvals</t>
  </si>
  <si>
    <t xml:space="preserve">Thailand</t>
  </si>
  <si>
    <t xml:space="preserve">LinkedIn (Gulf $4.3B, 2 GW); Digital in Asia. Sovereign portion is my estimate.</t>
  </si>
  <si>
    <t xml:space="preserve">Indonesia, Vietnam, Singapore sovereign AI compute</t>
  </si>
  <si>
    <t xml:space="preserve">SEA other</t>
  </si>
  <si>
    <t xml:space="preserve">My estimate.</t>
  </si>
  <si>
    <t xml:space="preserve">Canada Sovereign AI Compute Strategy (CAD 2B) and Australia (Firmus $10B debt facility)</t>
  </si>
  <si>
    <t xml:space="preserve">Canada/Australia</t>
  </si>
  <si>
    <t xml:space="preserve">Augur; my estimate.</t>
  </si>
  <si>
    <t xml:space="preserve">Latin America (Brazil, Mexico, Chile) sovereign and national supercomputers</t>
  </si>
  <si>
    <t xml:space="preserve">LatAm</t>
  </si>
  <si>
    <t xml:space="preserve">Total</t>
  </si>
  <si>
    <t xml:space="preserve">Formulas. GPUs implied 2026 = MW energised x 1,000 / rack kW x 72 GPUs per rack. Capex energised = MW x $38M per MW (Epoch, $38B per GW, all-in incl. facility). GPU systems = capex x 64% server share (Carnegie). Announced capex = announced MW x $38M.</t>
  </si>
  <si>
    <t xml:space="preserve">By quadrant, 2026</t>
  </si>
  <si>
    <t xml:space="preserve">MW energised 2026</t>
  </si>
  <si>
    <t xml:space="preserve">GPUs implied 2026</t>
  </si>
  <si>
    <t xml:space="preserve">GPU systems 2026 ($M)</t>
  </si>
  <si>
    <t xml:space="preserve">Announced MW</t>
  </si>
  <si>
    <t xml:space="preserve">Share of 2026 capex in the Gulf</t>
  </si>
  <si>
    <t xml:space="preserve">Share of announced MW in Europe (Regulated builders)</t>
  </si>
  <si>
    <t xml:space="preserve">Europe share of 2026 energised MW</t>
  </si>
  <si>
    <t xml:space="preserve">Summary 2026</t>
  </si>
  <si>
    <t xml:space="preserve">MW energised 2026 (GW)</t>
  </si>
  <si>
    <t xml:space="preserve">Sovereign AI capex energised 2026, all-in ($B)</t>
  </si>
  <si>
    <t xml:space="preserve">Of which GPU systems ($B)</t>
  </si>
  <si>
    <t xml:space="preserve">GPUs implied by 2026 energisation</t>
  </si>
  <si>
    <t xml:space="preserve">Announced pipeline, all programmes (GW)</t>
  </si>
  <si>
    <t xml:space="preserve">Announced pipeline capex ($B)</t>
  </si>
  <si>
    <t xml:space="preserve">Years to deliver pipeline at 2026 pace</t>
  </si>
  <si>
    <t xml:space="preserve">Announced MW / MW energised in 2026. Shows how far announcements run ahead of delivery.</t>
  </si>
  <si>
    <t xml:space="preserve">Top-down: three paths to 2026 sovereign AI compute spend</t>
  </si>
  <si>
    <t xml:space="preserve">$B. Path A grosses up NVIDIA's disclosed sovereign revenue to all vendors and to the full data center. Path B uses analyst market estimates. Path C starts from public budgets and applies leverage.</t>
  </si>
  <si>
    <t xml:space="preserve">Line</t>
  </si>
  <si>
    <t xml:space="preserve">Item</t>
  </si>
  <si>
    <t xml:space="preserve">Formula (in words) and source</t>
  </si>
  <si>
    <t xml:space="preserve">Path A: from NVIDIA's disclosed sovereign AI revenue</t>
  </si>
  <si>
    <t xml:space="preserve">A1</t>
  </si>
  <si>
    <t xml:space="preserve">NVIDIA sovereign AI revenue, FY2026</t>
  </si>
  <si>
    <t xml:space="preserve">&gt;$30B, tripled year on year.</t>
  </si>
  <si>
    <t xml:space="preserve">A2</t>
  </si>
  <si>
    <t xml:space="preserve">Growth to calendar 2026</t>
  </si>
  <si>
    <t xml:space="preserve">Assumption 40%.</t>
  </si>
  <si>
    <t xml:space="preserve">A3</t>
  </si>
  <si>
    <t xml:space="preserve">NVIDIA sovereign AI revenue, 2026</t>
  </si>
  <si>
    <t xml:space="preserve">A1 x (1 + A2).</t>
  </si>
  <si>
    <t xml:space="preserve">A4</t>
  </si>
  <si>
    <t xml:space="preserve">NVIDIA share of sovereign accelerator spend</t>
  </si>
  <si>
    <t xml:space="preserve">Assumption 85%.</t>
  </si>
  <si>
    <t xml:space="preserve">A5</t>
  </si>
  <si>
    <t xml:space="preserve">All-vendor accelerator and system spend by sovereigns, 2026</t>
  </si>
  <si>
    <t xml:space="preserve">A3 / A4.</t>
  </si>
  <si>
    <t xml:space="preserve">A6</t>
  </si>
  <si>
    <t xml:space="preserve">Server share of data center capex</t>
  </si>
  <si>
    <t xml:space="preserve">Carnegie: 64%.</t>
  </si>
  <si>
    <t xml:space="preserve">A7</t>
  </si>
  <si>
    <t xml:space="preserve">Sovereign AI data center capex, all-in, 2026 (Path A)</t>
  </si>
  <si>
    <t xml:space="preserve">A5 / A6. Grosses GPU systems up to the whole facility (network, storage, building, power).</t>
  </si>
  <si>
    <t xml:space="preserve">A8</t>
  </si>
  <si>
    <t xml:space="preserve">Implied gigawatts energised at Epoch's $38B per GW</t>
  </si>
  <si>
    <t xml:space="preserve">A7 / $38B. Note NVIDIA books revenue when systems ship, often a year before power is live.</t>
  </si>
  <si>
    <t xml:space="preserve">Path B: from analyst market estimates</t>
  </si>
  <si>
    <t xml:space="preserve">B1</t>
  </si>
  <si>
    <t xml:space="preserve">Sovereign AI market, 2026 (MarketsandMarkets, grown from 2025)</t>
  </si>
  <si>
    <t xml:space="preserve">$40.0B x 1.206.</t>
  </si>
  <si>
    <t xml:space="preserve">B2</t>
  </si>
  <si>
    <t xml:space="preserve">$48.9B.</t>
  </si>
  <si>
    <t xml:space="preserve">B3</t>
  </si>
  <si>
    <t xml:space="preserve">Hardware share</t>
  </si>
  <si>
    <t xml:space="preserve">48%.</t>
  </si>
  <si>
    <t xml:space="preserve">B4</t>
  </si>
  <si>
    <t xml:space="preserve">Sovereign AI hardware, 2026, average of B1 and B2 times B3</t>
  </si>
  <si>
    <t xml:space="preserve">AVERAGE(B1, B2) x B3.</t>
  </si>
  <si>
    <t xml:space="preserve">B5</t>
  </si>
  <si>
    <t xml:space="preserve">Sovereign AI infrastructure, 2026 (Precedence Research)</t>
  </si>
  <si>
    <t xml:space="preserve">$19.2B. Narrower definition: national data centers and government AI cloud.</t>
  </si>
  <si>
    <t xml:space="preserve">B6</t>
  </si>
  <si>
    <t xml:space="preserve">Sovereign AI infrastructure, 2026 (SNS Insider, grown at its own CAGR)</t>
  </si>
  <si>
    <t xml:space="preserve">$17.81B x ten-year CAGR implied by $91.99B in 2035.</t>
  </si>
  <si>
    <t xml:space="preserve">B7</t>
  </si>
  <si>
    <t xml:space="preserve">Path B: average of the three infrastructure figures (B4, B5, B6)</t>
  </si>
  <si>
    <t xml:space="preserve">AVERAGE(B4, B5, B6). Analyst definitions differ; hardware-only in B4, infrastructure incl. cloud in B5 and B6.</t>
  </si>
  <si>
    <t xml:space="preserve">Path C: from public budgets with private leverage</t>
  </si>
  <si>
    <t xml:space="preserve">C1</t>
  </si>
  <si>
    <t xml:space="preserve">EU gigafactories and AI Factories, annualised ($B)</t>
  </si>
  <si>
    <t xml:space="preserve">(EUR 10B + EUR 10B) / 5 years x 1.08.</t>
  </si>
  <si>
    <t xml:space="preserve">C2</t>
  </si>
  <si>
    <t xml:space="preserve">Japan compute budget plus Noetra, annualised ($B)</t>
  </si>
  <si>
    <t xml:space="preserve">$7.9B x 40% + $6.7B / 5.</t>
  </si>
  <si>
    <t xml:space="preserve">C3</t>
  </si>
  <si>
    <t xml:space="preserve">Korea government GPUs, annualised ($B)</t>
  </si>
  <si>
    <t xml:space="preserve">50,000 GPUs x ~$28.6k chip x 2 (system) / 3 years. Industrial fleets (SK, Hyundai, NAVER) are private and enter through leverage.</t>
  </si>
  <si>
    <t xml:space="preserve">C4</t>
  </si>
  <si>
    <t xml:space="preserve">India, UK, France, Malaysia, Saudi NIF, Canada, annualised ($B)</t>
  </si>
  <si>
    <t xml:space="preserve">Each programme's budget divided by its years, converted to USD.</t>
  </si>
  <si>
    <t xml:space="preserve">C5</t>
  </si>
  <si>
    <t xml:space="preserve">Public AI compute budgets, 2026</t>
  </si>
  <si>
    <t xml:space="preserve">C1 + C2 + C3 + C4. Excludes Gulf sovereign wealth, which is equity rather than budget.</t>
  </si>
  <si>
    <t xml:space="preserve">C6</t>
  </si>
  <si>
    <t xml:space="preserve">Private and sovereign-wealth capital per public dollar</t>
  </si>
  <si>
    <t xml:space="preserve">Assumption 2x (Commission targets 10x).</t>
  </si>
  <si>
    <t xml:space="preserve">C7</t>
  </si>
  <si>
    <t xml:space="preserve">Sovereign AI compute spend, 2026 (Path C)</t>
  </si>
  <si>
    <t xml:space="preserve">C5 x (1 + C6).</t>
  </si>
  <si>
    <t xml:space="preserve">Reconciliation</t>
  </si>
  <si>
    <t xml:space="preserve">R1</t>
  </si>
  <si>
    <t xml:space="preserve">Path A: NVIDIA sovereign revenue grossed up to the data center</t>
  </si>
  <si>
    <t xml:space="preserve">R2</t>
  </si>
  <si>
    <t xml:space="preserve">Path B: analyst infrastructure estimates</t>
  </si>
  <si>
    <t xml:space="preserve">R3</t>
  </si>
  <si>
    <t xml:space="preserve">Path C: public budgets with leverage</t>
  </si>
  <si>
    <t xml:space="preserve">R4</t>
  </si>
  <si>
    <t xml:space="preserve">Average of the three paths</t>
  </si>
  <si>
    <t xml:space="preserve">AVERAGE(R1:R3).</t>
  </si>
  <si>
    <t xml:space="preserve">R5</t>
  </si>
  <si>
    <t xml:space="preserve">Spread (max minus min) over average</t>
  </si>
  <si>
    <t xml:space="preserve">R6</t>
  </si>
  <si>
    <t xml:space="preserve">Bottom-up: capex energised in 2026, all-in</t>
  </si>
  <si>
    <t xml:space="preserve">From BottomUp summary.</t>
  </si>
  <si>
    <t xml:space="preserve">R7</t>
  </si>
  <si>
    <t xml:space="preserve">Bottom-up as share of top-down average</t>
  </si>
  <si>
    <t xml:space="preserve">R6 / R4.</t>
  </si>
  <si>
    <t xml:space="preserve">R8</t>
  </si>
  <si>
    <t xml:space="preserve">Bottom-up gigawatts energised 2026</t>
  </si>
  <si>
    <t xml:space="preserve">R9</t>
  </si>
  <si>
    <t xml:space="preserve">Path A implied gigawatts (A8) over bottom-up gigawatts</t>
  </si>
  <si>
    <t xml:space="preserve">A8 / R8. Above 1.0 means NVIDIA is shipping ahead of the power being ready, i.e. GPUs sit in warehouses or on racks waiting for grid connection.</t>
  </si>
  <si>
    <t xml:space="preserve">R10</t>
  </si>
  <si>
    <t xml:space="preserve">Sovereign share of AI providers' $1T infrastructure spend</t>
  </si>
  <si>
    <t xml:space="preserve">R4 / $1,000B.</t>
  </si>
  <si>
    <t xml:space="preserve">R11</t>
  </si>
  <si>
    <t xml:space="preserve">Sovereign share of NVIDIA Data Center run-rate (A3 / annualised Q2 FY27 $89B)</t>
  </si>
  <si>
    <t xml:space="preserve">A3 / $356B.</t>
  </si>
  <si>
    <t xml:space="preserve">What a gigawatt costs to own, by country</t>
  </si>
  <si>
    <t xml:space="preserve">Epoch's US hyperscaler model, then adjusted for power price, PUE, delay and insurance. Owner's effective $ per GPU-hour at the bottom. $B unless noted.</t>
  </si>
  <si>
    <t xml:space="preserve">United States</t>
  </si>
  <si>
    <t xml:space="preserve">Formula (in words)</t>
  </si>
  <si>
    <t xml:space="preserve">Inputs by country</t>
  </si>
  <si>
    <t xml:space="preserve">G1</t>
  </si>
  <si>
    <t xml:space="preserve">Industrial power price ($/kWh)</t>
  </si>
  <si>
    <t xml:space="preserve">From Assumptions.</t>
  </si>
  <si>
    <t xml:space="preserve">G2</t>
  </si>
  <si>
    <t xml:space="preserve">US and India my figures; others from Assumptions.</t>
  </si>
  <si>
    <t xml:space="preserve">G3</t>
  </si>
  <si>
    <t xml:space="preserve">Extra years to energise vs US</t>
  </si>
  <si>
    <t xml:space="preserve">Carnegie timelines: Gulf fastest, Germany slowest. Korea and India my figures.</t>
  </si>
  <si>
    <t xml:space="preserve">G4</t>
  </si>
  <si>
    <t xml:space="preserve">Insurance and country-risk premium (share of capex per year)</t>
  </si>
  <si>
    <t xml:space="preserve">Gulf war-risk insurance 5% after April 2026 (Semafor); others nominal.</t>
  </si>
  <si>
    <t xml:space="preserve">G5</t>
  </si>
  <si>
    <t xml:space="preserve">Carnegie lifecycle value index vs US (reference only)</t>
  </si>
  <si>
    <t xml:space="preserve">Saudi uses the UAE figure. Independent check on the rows below.</t>
  </si>
  <si>
    <t xml:space="preserve">Cost of 1 GW IT load, $B</t>
  </si>
  <si>
    <t xml:space="preserve">G6</t>
  </si>
  <si>
    <t xml:space="preserve">Up-front capex (Epoch, same hardware everywhere)</t>
  </si>
  <si>
    <t xml:space="preserve">$38B. GPUs are priced the same worldwide (Carnegie), so capex barely moves by country.</t>
  </si>
  <si>
    <t xml:space="preserve">G7</t>
  </si>
  <si>
    <t xml:space="preserve">Energy per year</t>
  </si>
  <si>
    <t xml:space="preserve">1,000,000 kW x PUE x 8,760 h x utilisation x $/kWh / 1e9. Epoch's US figure is $0.59B at full load.</t>
  </si>
  <si>
    <t xml:space="preserve">G8</t>
  </si>
  <si>
    <t xml:space="preserve">Other operating cost per year (Epoch opex less energy)</t>
  </si>
  <si>
    <t xml:space="preserve">$0.9B - $0.59B = $0.31B (labour, maintenance, taxes, water).</t>
  </si>
  <si>
    <t xml:space="preserve">G9</t>
  </si>
  <si>
    <t xml:space="preserve">Insurance and risk per year</t>
  </si>
  <si>
    <t xml:space="preserve">G6 x G4.</t>
  </si>
  <si>
    <t xml:space="preserve">G10</t>
  </si>
  <si>
    <t xml:space="preserve">Annualised capex (servers over IT life, rest over 15 years)</t>
  </si>
  <si>
    <t xml:space="preserve">Capex x 64% / 4 years + capex x 36% / 10 years. Epoch's own annualisation gives $7.6B of capex-related cost per year.</t>
  </si>
  <si>
    <t xml:space="preserve">G11</t>
  </si>
  <si>
    <t xml:space="preserve">Annual total cost of ownership</t>
  </si>
  <si>
    <t xml:space="preserve">G10 + G7 + G8 + G9. Epoch's US figure is $8.5B.</t>
  </si>
  <si>
    <t xml:space="preserve">G12</t>
  </si>
  <si>
    <t xml:space="preserve">Lifecycle value lost to delay (share)</t>
  </si>
  <si>
    <t xml:space="preserve">Extra years x 5.5% per year (Carnegie, linearised). A 1.5-year German delay costs more than doubling its power price.</t>
  </si>
  <si>
    <t xml:space="preserve">G13</t>
  </si>
  <si>
    <t xml:space="preserve">Delay cost, $B over a 10-year life (share x 10 x TCO)</t>
  </si>
  <si>
    <t xml:space="preserve">G12 x 10 years x G11.</t>
  </si>
  <si>
    <t xml:space="preserve">G14</t>
  </si>
  <si>
    <t xml:space="preserve">Energy as share of annual TCO</t>
  </si>
  <si>
    <t xml:space="preserve">G7 / G11. Even in Germany, energy is a minority of cost. Time to power matters more than the price of power.</t>
  </si>
  <si>
    <t xml:space="preserve">Owner's unit economics</t>
  </si>
  <si>
    <t xml:space="preserve">G15</t>
  </si>
  <si>
    <t xml:space="preserve">GPUs in 1 GW at NVL72 density</t>
  </si>
  <si>
    <t xml:space="preserve">1,000,000 kW / 120 kW x 72.</t>
  </si>
  <si>
    <t xml:space="preserve">G16</t>
  </si>
  <si>
    <t xml:space="preserve">Used GPU-hours per year</t>
  </si>
  <si>
    <t xml:space="preserve">G15 x 8,760 x 70%.</t>
  </si>
  <si>
    <t xml:space="preserve">G17</t>
  </si>
  <si>
    <t xml:space="preserve">Owner's effective cost per used GPU-hour</t>
  </si>
  <si>
    <t xml:space="preserve">G11 x 1e9 / G16.</t>
  </si>
  <si>
    <t xml:space="preserve">G18</t>
  </si>
  <si>
    <t xml:space="preserve">Same, including delay cost spread over 10 years</t>
  </si>
  <si>
    <t xml:space="preserve">(G11 + G13 / 10) x 1e9 / G16.</t>
  </si>
  <si>
    <t xml:space="preserve">G18b</t>
  </si>
  <si>
    <t xml:space="preserve">Cost of capital on capex per year (12% hurdle), $B</t>
  </si>
  <si>
    <t xml:space="preserve">G6 x 12%. What the owner must earn above TCO to justify the capital.</t>
  </si>
  <si>
    <t xml:space="preserve">G18c</t>
  </si>
  <si>
    <t xml:space="preserve">Cost per used GPU-hour incl. 12% cost of capital</t>
  </si>
  <si>
    <t xml:space="preserve">(G11 + G18b) x 1e9 / G16. The break-even rental price for a financed owner.</t>
  </si>
  <si>
    <t xml:space="preserve">G19</t>
  </si>
  <si>
    <t xml:space="preserve">Owner's cost as share of GB200 on-demand rental ($10.50)</t>
  </si>
  <si>
    <t xml:space="preserve">G17 / $10.50 (CoreWeave, May 2026).</t>
  </si>
  <si>
    <t xml:space="preserve">G20</t>
  </si>
  <si>
    <t xml:space="preserve">Owner's cost as share of Nebius B200 ($8.50)</t>
  </si>
  <si>
    <t xml:space="preserve">G17 / $8.50.</t>
  </si>
  <si>
    <t xml:space="preserve">G21</t>
  </si>
  <si>
    <t xml:space="preserve">Capex per GPU, all-in ($)</t>
  </si>
  <si>
    <t xml:space="preserve">G6 x 1e9 / G15. Compare the GB300 export-approval value of ~$28.6k per chip and street B300 ~$53k.</t>
  </si>
  <si>
    <t xml:space="preserve">Four reference configurations, one per quadrant</t>
  </si>
  <si>
    <t xml:space="preserve">Specified and costed on the GigawattTCO rates. Columns are comparable.</t>
  </si>
  <si>
    <t xml:space="preserve">Compute exporter campus</t>
  </si>
  <si>
    <t xml:space="preserve">Industrial AI factory</t>
  </si>
  <si>
    <t xml:space="preserve">EU gigafactory</t>
  </si>
  <si>
    <t xml:space="preserve">Subsidised national GPU pool</t>
  </si>
  <si>
    <t xml:space="preserve">Who builds it</t>
  </si>
  <si>
    <t xml:space="preserve">HUMAIN with xAI, G42 with OpenAI and Oracle</t>
  </si>
  <si>
    <t xml:space="preserve">Hyundai, SK, SoftBank's Noetra, Deutsche Telekom</t>
  </si>
  <si>
    <t xml:space="preserve">EuroHPC consortium under InvestAI</t>
  </si>
  <si>
    <t xml:space="preserve">IndiaAI, Malaysia sovereign cloud, Thailand</t>
  </si>
  <si>
    <t xml:space="preserve">Specification</t>
  </si>
  <si>
    <t xml:space="preserve">K1</t>
  </si>
  <si>
    <t xml:space="preserve">IT load, MW</t>
  </si>
  <si>
    <t xml:space="preserve">K2</t>
  </si>
  <si>
    <t xml:space="preserve">Rack type (kW)</t>
  </si>
  <si>
    <t xml:space="preserve">K3</t>
  </si>
  <si>
    <t xml:space="preserve">GPUs per rack or node</t>
  </si>
  <si>
    <t xml:space="preserve">K4</t>
  </si>
  <si>
    <t xml:space="preserve">K5</t>
  </si>
  <si>
    <t xml:space="preserve">Cooling</t>
  </si>
  <si>
    <t xml:space="preserve">Liquid, closed loop</t>
  </si>
  <si>
    <t xml:space="preserve">Liquid</t>
  </si>
  <si>
    <t xml:space="preserve">Air</t>
  </si>
  <si>
    <t xml:space="preserve">K6</t>
  </si>
  <si>
    <t xml:space="preserve">Power source</t>
  </si>
  <si>
    <t xml:space="preserve">Grid plus dedicated gas and solar PPAs</t>
  </si>
  <si>
    <t xml:space="preserve">Grid, 13c industrial</t>
  </si>
  <si>
    <t xml:space="preserve">Grid, 18c, 1.5-year interconnect queue</t>
  </si>
  <si>
    <t xml:space="preserve">Grid, 9c</t>
  </si>
  <si>
    <t xml:space="preserve">K7</t>
  </si>
  <si>
    <t xml:space="preserve">Who pays</t>
  </si>
  <si>
    <t xml:space="preserve">Sovereign wealth fund equity plus project debt</t>
  </si>
  <si>
    <t xml:space="preserve">Chaebol or telco balance sheet with state subsidy</t>
  </si>
  <si>
    <t xml:space="preserve">EU and national budgets plus EIB, 10x private leverage target</t>
  </si>
  <si>
    <t xml:space="preserve">State budget subsidises the hour; hyperscaler or neocloud builds</t>
  </si>
  <si>
    <t xml:space="preserve">K8</t>
  </si>
  <si>
    <t xml:space="preserve">Anchor customer</t>
  </si>
  <si>
    <t xml:space="preserve">xAI, OpenAI, foreign AI labs renting capacity</t>
  </si>
  <si>
    <t xml:space="preserve">Own group companies: automotive, semis, robotics</t>
  </si>
  <si>
    <t xml:space="preserve">Mistral, Black Forest Labs, Helsing, research</t>
  </si>
  <si>
    <t xml:space="preserve">Startups and universities at a subsidised rate</t>
  </si>
  <si>
    <t xml:space="preserve">Cost, $B</t>
  </si>
  <si>
    <t xml:space="preserve">K9</t>
  </si>
  <si>
    <t xml:space="preserve">Power price ($/kWh)</t>
  </si>
  <si>
    <t xml:space="preserve">K10</t>
  </si>
  <si>
    <t xml:space="preserve">K11</t>
  </si>
  <si>
    <t xml:space="preserve">Up-front capex ($B)</t>
  </si>
  <si>
    <t xml:space="preserve">K12</t>
  </si>
  <si>
    <t xml:space="preserve">Energy per year ($B)</t>
  </si>
  <si>
    <t xml:space="preserve">K13</t>
  </si>
  <si>
    <t xml:space="preserve">Other opex per year ($B)</t>
  </si>
  <si>
    <t xml:space="preserve">K14</t>
  </si>
  <si>
    <t xml:space="preserve">Insurance and risk per year ($B)</t>
  </si>
  <si>
    <t xml:space="preserve">K15</t>
  </si>
  <si>
    <t xml:space="preserve">Annualised capex ($B)</t>
  </si>
  <si>
    <t xml:space="preserve">K16</t>
  </si>
  <si>
    <t xml:space="preserve">Annual TCO ($B)</t>
  </si>
  <si>
    <t xml:space="preserve">K17</t>
  </si>
  <si>
    <t xml:space="preserve">Years of delay vs US</t>
  </si>
  <si>
    <t xml:space="preserve">K18</t>
  </si>
  <si>
    <t xml:space="preserve">Delay cost over life ($B)</t>
  </si>
  <si>
    <t xml:space="preserve">Unit economics</t>
  </si>
  <si>
    <t xml:space="preserve">K19</t>
  </si>
  <si>
    <t xml:space="preserve">Utilisation</t>
  </si>
  <si>
    <t xml:space="preserve">K20</t>
  </si>
  <si>
    <t xml:space="preserve">K21</t>
  </si>
  <si>
    <t xml:space="preserve">Owner's cost per used GPU-hour ($)</t>
  </si>
  <si>
    <t xml:space="preserve">K21b</t>
  </si>
  <si>
    <t xml:space="preserve">Break-even price incl. 12% cost of capital ($ per GPU-hour)</t>
  </si>
  <si>
    <t xml:space="preserve">K22</t>
  </si>
  <si>
    <t xml:space="preserve">Price charged per GPU-hour ($)</t>
  </si>
  <si>
    <t xml:space="preserve">n/a (internal)</t>
  </si>
  <si>
    <t xml:space="preserve">K23</t>
  </si>
  <si>
    <t xml:space="preserve">Gross margin or subsidy per GPU-hour ($)</t>
  </si>
  <si>
    <t xml:space="preserve">n/a</t>
  </si>
  <si>
    <t xml:space="preserve">K24</t>
  </si>
  <si>
    <t xml:space="preserve">Annual subsidy or margin at the hours above ($M)</t>
  </si>
  <si>
    <t xml:space="preserve">K25</t>
  </si>
  <si>
    <t xml:space="preserve">Reading</t>
  </si>
  <si>
    <t xml:space="preserve">Sells capacity abroad at a margin while power is cheap and chips are allocated. Exposed to export policy and war risk.</t>
  </si>
  <si>
    <t xml:space="preserve">Cost centre for the group. Justified by research velocity and supply-chain sovereignty, not by $/hour.</t>
  </si>
  <si>
    <t xml:space="preserve">Priced to European sovereign-cloud rates it cannot reach at 60% utilisation and German power. Needs the 10x leverage and an anchor tenant.</t>
  </si>
  <si>
    <t xml:space="preserve">Every subsidised hour costs the state the gap. Cheapest way to give startups compute, most expensive per GPU.</t>
  </si>
  <si>
    <t xml:space="preserve">Formulas: GPUs = MW x 1,000 / rack kW x GPUs per rack. Capex = MW / 1,000 x $38B. Energy = MW x 1,000 x PUE x 8,760 x utilisation x $/kWh. TCO = annualised capex + energy + other opex + insurance. $/GPU-hour = TCO / (GPUs x 8,760 x utilisation). Margin or subsidy = price - cost.</t>
  </si>
  <si>
    <t xml:space="preserve">Pricing: GPU-hour by route and region, subsidy gaps, and where the margin sits</t>
  </si>
  <si>
    <t xml:space="preserve">List prices read Sep-Oct 2026. Owner costs from GigawattTCO.</t>
  </si>
  <si>
    <t xml:space="preserve">Note</t>
  </si>
  <si>
    <t xml:space="preserve">Owner's cost (from GigawattTCO, GB200 class, 70% utilisation)</t>
  </si>
  <si>
    <t xml:space="preserve">P1</t>
  </si>
  <si>
    <t xml:space="preserve">Own a gigawatt in Saudi Arabia</t>
  </si>
  <si>
    <t xml:space="preserve">P2</t>
  </si>
  <si>
    <t xml:space="preserve">Own a gigawatt in the United States</t>
  </si>
  <si>
    <t xml:space="preserve">P3</t>
  </si>
  <si>
    <t xml:space="preserve">Own a gigawatt in South Korea</t>
  </si>
  <si>
    <t xml:space="preserve">P4</t>
  </si>
  <si>
    <t xml:space="preserve">Own a gigawatt in Germany</t>
  </si>
  <si>
    <t xml:space="preserve">P5</t>
  </si>
  <si>
    <t xml:space="preserve">Own a gigawatt in Germany incl. 1.5-year delay cost</t>
  </si>
  <si>
    <t xml:space="preserve">P5b</t>
  </si>
  <si>
    <t xml:space="preserve">Break-even rental price, US owner incl. 12% cost of capital</t>
  </si>
  <si>
    <t xml:space="preserve">From GigawattTCO G18c.</t>
  </si>
  <si>
    <t xml:space="preserve">P5c</t>
  </si>
  <si>
    <t xml:space="preserve">Break-even rental price, Saudi owner incl. 12% cost of capital</t>
  </si>
  <si>
    <t xml:space="preserve">P5d</t>
  </si>
  <si>
    <t xml:space="preserve">Break-even rental price, German owner incl. 12% cost of capital</t>
  </si>
  <si>
    <t xml:space="preserve">Rent, Blackwell class</t>
  </si>
  <si>
    <t xml:space="preserve">P6</t>
  </si>
  <si>
    <t xml:space="preserve">CoreWeave GB200 on-demand (lowest, May 2026)</t>
  </si>
  <si>
    <t xml:space="preserve">Carnegie / getdeploying.</t>
  </si>
  <si>
    <t xml:space="preserve">P7</t>
  </si>
  <si>
    <t xml:space="preserve">14 Oct 2026.</t>
  </si>
  <si>
    <t xml:space="preserve">P8</t>
  </si>
  <si>
    <t xml:space="preserve">Sep 2026.</t>
  </si>
  <si>
    <t xml:space="preserve">Rent, Hopper class (what most sovereign clouds actually sell)</t>
  </si>
  <si>
    <t xml:space="preserve">P9</t>
  </si>
  <si>
    <t xml:space="preserve">Azure H100, West Europe</t>
  </si>
  <si>
    <t xml:space="preserve">Highest list in Europe.</t>
  </si>
  <si>
    <t xml:space="preserve">P10</t>
  </si>
  <si>
    <t xml:space="preserve">P11</t>
  </si>
  <si>
    <t xml:space="preserve">AWS H100, Stockholm</t>
  </si>
  <si>
    <t xml:space="preserve">P12</t>
  </si>
  <si>
    <t xml:space="preserve">CoreWeave HGX H100, Europe</t>
  </si>
  <si>
    <t xml:space="preserve">P13</t>
  </si>
  <si>
    <t xml:space="preserve">Sakura Internet H100, Japan (METI-subsidised operator)</t>
  </si>
  <si>
    <t xml:space="preserve">JPY 990.</t>
  </si>
  <si>
    <t xml:space="preserve">P14</t>
  </si>
  <si>
    <t xml:space="preserve">P15</t>
  </si>
  <si>
    <t xml:space="preserve">Scaleway H100 PCIe, Paris</t>
  </si>
  <si>
    <t xml:space="preserve">EUR 2.87.</t>
  </si>
  <si>
    <t xml:space="preserve">P16</t>
  </si>
  <si>
    <t xml:space="preserve">Won EUR 180M Commission sovereign-cloud contract.</t>
  </si>
  <si>
    <t xml:space="preserve">P17</t>
  </si>
  <si>
    <t xml:space="preserve">Global H100 on-demand median (NVIDIA index, Jun 2026)</t>
  </si>
  <si>
    <t xml:space="preserve">P18</t>
  </si>
  <si>
    <t xml:space="preserve">IndiaAI subsidised rate</t>
  </si>
  <si>
    <t xml:space="preserve">INR 150.</t>
  </si>
  <si>
    <t xml:space="preserve">Spreads</t>
  </si>
  <si>
    <t xml:space="preserve">P19</t>
  </si>
  <si>
    <t xml:space="preserve">European sovereign cloud discount to Azure West Europe (P16 / P9)</t>
  </si>
  <si>
    <t xml:space="preserve">OVHcloud as share of Azure list. European sovereign clouds compete on price, not just jurisdiction.</t>
  </si>
  <si>
    <t xml:space="preserve">P20</t>
  </si>
  <si>
    <t xml:space="preserve">Hyperscaler Japan premium over METI-subsidised Sakura (P10 / P13)</t>
  </si>
  <si>
    <t xml:space="preserve">P21</t>
  </si>
  <si>
    <t xml:space="preserve">India subsidy gap per hour vs commercial rate (P18 vs INR 300)</t>
  </si>
  <si>
    <t xml:space="preserve">Commercial $3.40 less subsidised $1.70.</t>
  </si>
  <si>
    <t xml:space="preserve">P22</t>
  </si>
  <si>
    <t xml:space="preserve">India subsidy gap vs owner's cost of a US gigawatt (P2 - P18)</t>
  </si>
  <si>
    <t xml:space="preserve">What the state eats per hour if the pool costs what a US hyperscaler pays.</t>
  </si>
  <si>
    <t xml:space="preserve">P23</t>
  </si>
  <si>
    <t xml:space="preserve">Annual subsidy on 45,000 GPUs at 50% utilisation ($M)</t>
  </si>
  <si>
    <t xml:space="preserve">P22 x 45,000 x 8,760 x 50% / 1e6. Against IndiaAI's ~$1.2B five-year budget.</t>
  </si>
  <si>
    <t xml:space="preserve">P24</t>
  </si>
  <si>
    <t xml:space="preserve">Saudi owner's cost as share of CoreWeave GB200 rental (P1 / P6)</t>
  </si>
  <si>
    <t xml:space="preserve">The export margin available to a compute exporter before financing cost.</t>
  </si>
  <si>
    <t xml:space="preserve">P25</t>
  </si>
  <si>
    <t xml:space="preserve">Germany owner's cost incl. delay as share of Scaleway's price (P5 / P15)</t>
  </si>
  <si>
    <t xml:space="preserve">Below 100% means a German gigafactory can undercut existing European sovereign clouds on cash cost. Add the 12% cost of capital (P5d) and the comparison flips.</t>
  </si>
  <si>
    <t xml:space="preserve">P25b</t>
  </si>
  <si>
    <t xml:space="preserve">German break-even incl. cost of capital as share of Scaleway's price (P5d / P15)</t>
  </si>
  <si>
    <t xml:space="preserve">Above 100% means the gigafactory cannot earn its cost of capital selling at today's European sovereign-cloud prices.</t>
  </si>
  <si>
    <t xml:space="preserve">P25c</t>
  </si>
  <si>
    <t xml:space="preserve">Saudi break-even incl. cost of capital as share of CoreWeave GB200 (P5c / P6)</t>
  </si>
  <si>
    <t xml:space="preserve">The exporter still clears its capital charge with room to spare.</t>
  </si>
  <si>
    <t xml:space="preserve">Where the margin sits</t>
  </si>
  <si>
    <t xml:space="preserve">P26</t>
  </si>
  <si>
    <t xml:space="preserve">GB300 chip value in US export approvals ($ per chip)</t>
  </si>
  <si>
    <t xml:space="preserve">35,000 chips ~ $1B.</t>
  </si>
  <si>
    <t xml:space="preserve">P27</t>
  </si>
  <si>
    <t xml:space="preserve">NVIDIA cost of goods per chip at 75% gross margin ($)</t>
  </si>
  <si>
    <t xml:space="preserve">P26 x 25%.</t>
  </si>
  <si>
    <t xml:space="preserve">P28</t>
  </si>
  <si>
    <t xml:space="preserve">All-in capex per GPU in a gigawatt ($)</t>
  </si>
  <si>
    <t xml:space="preserve">From GigawattTCO: $38B / GPUs in 1 GW.</t>
  </si>
  <si>
    <t xml:space="preserve">P29</t>
  </si>
  <si>
    <t xml:space="preserve">Chip as share of all-in capex per GPU (P26 / P28)</t>
  </si>
  <si>
    <t xml:space="preserve">The rest is the server, rack, network, storage, building and power plant.</t>
  </si>
  <si>
    <t xml:space="preserve">P30</t>
  </si>
  <si>
    <t xml:space="preserve">In a sovereign deal the chip is under half the money. The state controls the land, power and permits, which is why the Gulf can clear a gigawatt in 2.5 years and Northumberland takes nine. Pricing power in this market belongs to whoever controls time to power, and today that is the Gulf and NVIDIA's allocation desk, not the cloud.</t>
  </si>
  <si>
    <t xml:space="preserve">Value: what sovereign compute is worth</t>
  </si>
  <si>
    <t xml:space="preserve">Macro claims are large and soft. The usable tests are ratios: value per dollar invested, revenue per compute dollar, and whether the owner can cover cost of capital.</t>
  </si>
  <si>
    <t xml:space="preserve">A. Macro: GDP uplift that depends on in-country compute</t>
  </si>
  <si>
    <t xml:space="preserve">VA1</t>
  </si>
  <si>
    <t xml:space="preserve">PwC: AI uplift to global GDP by 2030 (share)</t>
  </si>
  <si>
    <t xml:space="preserve">14%.</t>
  </si>
  <si>
    <t xml:space="preserve">VA2</t>
  </si>
  <si>
    <t xml:space="preserve">Share of that uplift requiring in-country compute</t>
  </si>
  <si>
    <t xml:space="preserve">Assumption 25%.</t>
  </si>
  <si>
    <t xml:space="preserve">VA3</t>
  </si>
  <si>
    <t xml:space="preserve">Saudi Arabia: annual GDP uplift at stake ($B)</t>
  </si>
  <si>
    <t xml:space="preserve">GDP x 14% x 25%.</t>
  </si>
  <si>
    <t xml:space="preserve">VA4</t>
  </si>
  <si>
    <t xml:space="preserve">Saudi Arabia: HUMAIN announced capex to 2030 ($B)</t>
  </si>
  <si>
    <t xml:space="preserve">1.9 GW x $38B.</t>
  </si>
  <si>
    <t xml:space="preserve">VA5</t>
  </si>
  <si>
    <t xml:space="preserve">Years of uplift to pay back the capex</t>
  </si>
  <si>
    <t xml:space="preserve">VA4 / VA3.</t>
  </si>
  <si>
    <t xml:space="preserve">VA6</t>
  </si>
  <si>
    <t xml:space="preserve">EU: annual GDP uplift at stake ($B)</t>
  </si>
  <si>
    <t xml:space="preserve">VA7</t>
  </si>
  <si>
    <t xml:space="preserve">EU: gigafactories plus AI factories capex ($B)</t>
  </si>
  <si>
    <t xml:space="preserve">1.7 GW announced x $38B.</t>
  </si>
  <si>
    <t xml:space="preserve">VA8</t>
  </si>
  <si>
    <t xml:space="preserve">Years of uplift to pay back</t>
  </si>
  <si>
    <t xml:space="preserve">VA9</t>
  </si>
  <si>
    <t xml:space="preserve">India: annual GDP uplift at stake ($B)</t>
  </si>
  <si>
    <t xml:space="preserve">VA10</t>
  </si>
  <si>
    <t xml:space="preserve">India: IndiaAI capex equivalent ($B)</t>
  </si>
  <si>
    <t xml:space="preserve">90 MW x $38B.</t>
  </si>
  <si>
    <t xml:space="preserve">VA11</t>
  </si>
  <si>
    <t xml:space="preserve">A rounding error. India's constraint is not capital but power, chips and talent.</t>
  </si>
  <si>
    <t xml:space="preserve">VA12</t>
  </si>
  <si>
    <t xml:space="preserve">Thailand: annual GDP uplift at stake ($B)</t>
  </si>
  <si>
    <t xml:space="preserve">VA13</t>
  </si>
  <si>
    <t xml:space="preserve">Thailand: Gulf Development 2 GW plan capex ($B)</t>
  </si>
  <si>
    <t xml:space="preserve">2 GW x $38B. Far beyond domestic need, so it only works as an export or hyperscaler-tenant play.</t>
  </si>
  <si>
    <t xml:space="preserve">VA14</t>
  </si>
  <si>
    <t xml:space="preserve">B. Micro: value per dollar of infrastructure</t>
  </si>
  <si>
    <t xml:space="preserve">VB1</t>
  </si>
  <si>
    <t xml:space="preserve">Google Bangkok region: economic value claimed per dollar invested</t>
  </si>
  <si>
    <t xml:space="preserve">$41B / $1B (Public First for Google). A vendor-commissioned multiplier.</t>
  </si>
  <si>
    <t xml:space="preserve">VB2</t>
  </si>
  <si>
    <t xml:space="preserve">Frontier lab revenue per dollar of compute (Anthropic)</t>
  </si>
  <si>
    <t xml:space="preserve">$1.70. The best disclosed return on compute in the industry.</t>
  </si>
  <si>
    <t xml:space="preserve">VB3</t>
  </si>
  <si>
    <t xml:space="preserve">Gartner: revenue needed vs revenue available to AI data center owners through 2030</t>
  </si>
  <si>
    <t xml:space="preserve">$3.6T / $8.5T. Owners as a class cover 42% of what a 12% return requires.</t>
  </si>
  <si>
    <t xml:space="preserve">VB4</t>
  </si>
  <si>
    <t xml:space="preserve">Infrastructure exposed to impairment by 2030 ($T)</t>
  </si>
  <si>
    <t xml:space="preserve">&gt;$3.5T.</t>
  </si>
  <si>
    <t xml:space="preserve">C. Owner's economics for a sovereign gigawatt</t>
  </si>
  <si>
    <t xml:space="preserve">VC1</t>
  </si>
  <si>
    <t xml:space="preserve">Saudi gigawatt annual TCO ($B)</t>
  </si>
  <si>
    <t xml:space="preserve">VC2</t>
  </si>
  <si>
    <t xml:space="preserve">Revenue if sold at 60% of CoreWeave GB200 rate, 80% utilisation ($B)</t>
  </si>
  <si>
    <t xml:space="preserve">$10.50 x 60% x GPUs in 1 GW x 8,760 x 80% / 1e9.</t>
  </si>
  <si>
    <t xml:space="preserve">VC3</t>
  </si>
  <si>
    <t xml:space="preserve">Operating margin before financing</t>
  </si>
  <si>
    <t xml:space="preserve">(VC2 - VC1) / VC2.</t>
  </si>
  <si>
    <t xml:space="preserve">VC3b</t>
  </si>
  <si>
    <t xml:space="preserve">Operating margin after 12% cost of capital on $38B</t>
  </si>
  <si>
    <t xml:space="preserve">(VC2 - VC1 - $38B x 12%) / VC2.</t>
  </si>
  <si>
    <t xml:space="preserve">VC4</t>
  </si>
  <si>
    <t xml:space="preserve">German gigawatt annual TCO ($B)</t>
  </si>
  <si>
    <t xml:space="preserve">VC5</t>
  </si>
  <si>
    <t xml:space="preserve">Revenue at Scaleway's Hopper-class price, 60% utilisation ($B)</t>
  </si>
  <si>
    <t xml:space="preserve">EUR 2.87 x GPUs x 8,760 x 60% / 1e9. If the gigafactory has to compete with existing European clouds on price.</t>
  </si>
  <si>
    <t xml:space="preserve">VC6</t>
  </si>
  <si>
    <t xml:space="preserve">Negative means the gigafactory cannot be run as a cloud business at today's European prices. It is a research instrument and must be valued as one.</t>
  </si>
  <si>
    <t xml:space="preserve">VC6b</t>
  </si>
  <si>
    <t xml:space="preserve">Operating margin after 12% cost of capital</t>
  </si>
  <si>
    <t xml:space="preserve">(VC5 - VC4 - $38B x 12%) / VC5. Negative means a European gigafactory cannot be run as a cloud business at today's European prices. It is a research instrument and must be valued as one.</t>
  </si>
  <si>
    <t xml:space="preserve">VC7</t>
  </si>
  <si>
    <t xml:space="preserve">Revenue needed to cover German TCO plus 12% cost of capital at 60% utilisation, $ per GPU-hour</t>
  </si>
  <si>
    <t xml:space="preserve">(VC4 + $38B x 12%) x 1e9 / used hours. The Blackwell-class price a gigafactory would have to charge.</t>
  </si>
  <si>
    <t xml:space="preserve">D. The strategic value nobody prices</t>
  </si>
  <si>
    <t xml:space="preserve">VD1</t>
  </si>
  <si>
    <t xml:space="preserve">Three things do not appear in the ratios above. Optionality: a state with its own gigawatt can run a national model when a foreign API is cut off. Industrial pull-through: Korea's 260,000 GPUs are for Hyundai and SK's products, not for selling compute. Bargaining power: HUMAIN's 35,000-chip export approval and $23B of agreements were negotiated at head-of-state level. These are real and they explain why the capital keeps coming after the spreadsheet says stop.</t>
  </si>
  <si>
    <t xml:space="preserve">Numbering matches the article at esthercs.dev/research/sovereign-ai.</t>
  </si>
  <si>
    <t xml:space="preserve">No.</t>
  </si>
  <si>
    <t xml:space="preserve">Date</t>
  </si>
  <si>
    <t xml:space="preserve">URL</t>
  </si>
  <si>
    <t xml:space="preserve">Fortune, Nvidia's European spending spree is about much more than Europe (sovereign revenue &gt;$30B FY26, $8B into Europe, Nscale)</t>
  </si>
  <si>
    <t xml:space="preserve">https://fortune.com/2026/10/15/nvidias-european-spending-spree-is-about-much-more-than-europe/</t>
  </si>
  <si>
    <t xml:space="preserve">Air Street Capital, State of AI Report 2026 (NVIDIA &gt;$30B sovereign AI revenue FY2026; hyperscaler capex ~$733B)</t>
  </si>
  <si>
    <t xml:space="preserve">https://www.stateof.ai/</t>
  </si>
  <si>
    <t xml:space="preserve">vision2030.ai, HUMAIN's AI Infrastructure Machine: 600,000 GPUs, $77 Billion, 6.6 GW</t>
  </si>
  <si>
    <t xml:space="preserve">https://vision2030.ai/analysis/humain-ai-infrastructure/</t>
  </si>
  <si>
    <t xml:space="preserve">Saudi Market Research Consulting, HUMAIN Saudi Arabia: A Bold Sovereign AI Push</t>
  </si>
  <si>
    <t xml:space="preserve">2025-2026</t>
  </si>
  <si>
    <t xml:space="preserve">https://saudimarketresearchconsulting.com/insights/articles/humain-saudi-arabia-a-bold-sovereign-ai-push-reshaping-infrastructure-and-markets</t>
  </si>
  <si>
    <t xml:space="preserve">Qualcomm, HUMAIN and Qualcomm to deploy AI infrastructure in Saudi Arabia (200 MW)</t>
  </si>
  <si>
    <t xml:space="preserve">Oct 2025</t>
  </si>
  <si>
    <t xml:space="preserve">https://www.qualcomm.com/news/releases/2025/10/humain-and-qualcomm-to-deploy-ai-infrastructure-in-saudi-arabia-</t>
  </si>
  <si>
    <t xml:space="preserve">US Department of Commerce, Statement on UAE and Saudi Chip Exports (35,000 GB300-equivalent each)</t>
  </si>
  <si>
    <t xml:space="preserve">19 Nov 2025</t>
  </si>
  <si>
    <t xml:space="preserve">https://www.commerce.gov/news/press-releases/2025/11/statement-uae-and-saudi-chip-exports</t>
  </si>
  <si>
    <t xml:space="preserve">Reuters, US authorizes export of advanced American semiconductors to companies in Saudi, UAE</t>
  </si>
  <si>
    <t xml:space="preserve">https://www.reuters.com/business/us-authorizes-export-advanced-american-semiconductors-companies-saudi-uae-2025-11-19/</t>
  </si>
  <si>
    <t xml:space="preserve">OpenAI, Introducing Stargate UAE (1 GW, 200 MW in 2026)</t>
  </si>
  <si>
    <t xml:space="preserve">May 2025</t>
  </si>
  <si>
    <t xml:space="preserve">https://openai.com/index/introducing-stargate-uae/</t>
  </si>
  <si>
    <t xml:space="preserve">G42, Global Tech Alliance Launches Stargate UAE</t>
  </si>
  <si>
    <t xml:space="preserve">https://www.g42.ai/resources/news/global-tech-alliance-launches-stargate-uae</t>
  </si>
  <si>
    <t xml:space="preserve">The Tech Capital, First 200 MW of Stargate UAE will come online in 2026 says G42 chief (5 GW campus)</t>
  </si>
  <si>
    <t xml:space="preserve">15 Oct 2025</t>
  </si>
  <si>
    <t xml:space="preserve">https://thetechcapital.com/first-200mw-of-stargate-uae-will-come-online-in-2026-says-g42-chief</t>
  </si>
  <si>
    <t xml:space="preserve">European Commission, AI Factories policy page (19 AI Factories, up to seven gigafactories, EUR 10B)</t>
  </si>
  <si>
    <t xml:space="preserve">https://digital-strategy.ec.europa.eu/en/policies/ai-factories</t>
  </si>
  <si>
    <t xml:space="preserve">EIB Group and European Commission join forces to finance AI gigafactories (~100,000 chips each)</t>
  </si>
  <si>
    <t xml:space="preserve">https://www.eib.org/en/press/all/2025-491-eib-group-and-european-commission-join-forces-to-finance-ai-gigafactories</t>
  </si>
  <si>
    <t xml:space="preserve">Augur (Mulani, Fitz, Fort), Who Owns AI? (sovereign funds and programmes, data to May 2026)</t>
  </si>
  <si>
    <t xml:space="preserve">https://whoownsai.org/who-owns-ai.pdf</t>
  </si>
  <si>
    <t xml:space="preserve">Deutsche Telekom, For a sovereign Germany: Deutsche Telekom launches Industrial AI Cloud with NVIDIA (10,000 Blackwell GPUs, Munich)</t>
  </si>
  <si>
    <t xml:space="preserve">4 Nov 2025</t>
  </si>
  <si>
    <t xml:space="preserve">https://www.telekom.com/en/newsroom/latest-updates/media-information/2025/11/for-a-sovereign-germany</t>
  </si>
  <si>
    <t xml:space="preserve">Nscale, UK AI infrastructure commitment with Microsoft, NVIDIA and OpenAI (58,640 GPUs; Loughton 23,040 GB300)</t>
  </si>
  <si>
    <t xml:space="preserve">16 Sep 2025</t>
  </si>
  <si>
    <t xml:space="preserve">https://www.nscale.com/press-releases/nscale-uk-ai-infrastructure-announcement</t>
  </si>
  <si>
    <t xml:space="preserve">OpenAI, Introducing Stargate UK</t>
  </si>
  <si>
    <t xml:space="preserve">Sep 2025</t>
  </si>
  <si>
    <t xml:space="preserve">https://openai.com/index/introducing-stargate-uk/</t>
  </si>
  <si>
    <t xml:space="preserve">NVIDIA, NVIDIA, South Korea Government and Industrial Giants Build AI Infrastructure (260,000 GPUs)</t>
  </si>
  <si>
    <t xml:space="preserve">https://investor.nvidia.com/news/press-release-details/2025/NVIDIA-South-Korea-Government-and-Industrial-Giants-Build-AI-Infrastructure-and-Ecosystem-to-Fuel-Korea-Innovation-Industries-and-Jobs/default.aspx</t>
  </si>
  <si>
    <t xml:space="preserve">Spheron, GPU Cloud Providers in Japan 2026 (27,500 Rubin, METI JPY 72.5B, Sakura, prices)</t>
  </si>
  <si>
    <t xml:space="preserve">https://www.spheron.network/blog/gpu-cloud-providers-japan-2026/</t>
  </si>
  <si>
    <t xml:space="preserve">IndiaAI, Compute Capacity (38,000 GPUs, INR 150 per hour)</t>
  </si>
  <si>
    <t xml:space="preserve">https://indiaai.gov.in/hub/indiaai-compute-capacity</t>
  </si>
  <si>
    <t xml:space="preserve">Introl, Malaysia and Thailand: Emerging AI Data Center Hubs (YTL 600 MW GB200, budgets)</t>
  </si>
  <si>
    <t xml:space="preserve">Dec 2025</t>
  </si>
  <si>
    <t xml:space="preserve">https://introl.com/blog/malaysia-thailand-emerging-ai-data-center-hubs-southeast-asia</t>
  </si>
  <si>
    <t xml:space="preserve">Digital in Asia, Who is Building AI Data Centres in Southeast Asia in 2026</t>
  </si>
  <si>
    <t xml:space="preserve">https://digitalinasia.com/southeast-asia-ai-data-centre-boom/</t>
  </si>
  <si>
    <t xml:space="preserve">Google Cloud, Launches New Cloud Region in Thailand ($1B; THB 1.4T value)</t>
  </si>
  <si>
    <t xml:space="preserve">https://www.googlecloudpresscorner.com/2026-01-21-Google-Cloud-Launches-New-Cloud-Region-in-Thailand,-Bolstering-its-Commitment-to-Advancing-the-Countrys-AI-Driven-Digital-Economy</t>
  </si>
  <si>
    <t xml:space="preserve">MarketsandMarkets, Sovereign AI Market to Reach USD 148.0 Billion by 2032</t>
  </si>
  <si>
    <t xml:space="preserve">https://finance.yahoo.com/technology/ai/articles/sovereign-ai-market-reach-usd-151500186.html</t>
  </si>
  <si>
    <t xml:space="preserve">Grand View Research, Sovereign AI Market (2026-2033)</t>
  </si>
  <si>
    <t xml:space="preserve">https://www.grandviewresearch.com/industry-analysis/sovereign-ai-market-report</t>
  </si>
  <si>
    <t xml:space="preserve">Precedence Research, Sovereign AI Infrastructure Market</t>
  </si>
  <si>
    <t xml:space="preserve">https://www.precedenceresearch.com/sovereign-ai-infrastructure-market</t>
  </si>
  <si>
    <t xml:space="preserve">SNS Insider, Sovereign AI Infrastructure Market</t>
  </si>
  <si>
    <t xml:space="preserve">https://www.snsinsider.com/reports/sovereign-ai-infrastructure-market-10918</t>
  </si>
  <si>
    <t xml:space="preserve">Gartner, Worldwide AI Spending to Grow 49.5% in 2026</t>
  </si>
  <si>
    <t xml:space="preserve">https://www.gartner.com/en/newsroom/press-releases/2026-09-16-gartner-forecasts-worldwide-ai-spending-to-grow-49-point-5-percent-in-2026</t>
  </si>
  <si>
    <t xml:space="preserve">Gartner, Over $3.5 Trillion of AI Infrastructure Spending Could Be Exposed to Impairment by End of 2030</t>
  </si>
  <si>
    <t xml:space="preserve">https://www.gartner.com/en/newsroom/press-releases/2026-10-14-gartner-says-over-us-dollars-three-and-a-half-trillion-of-artificial-intelligence-infrastructure-spending-could-be-exposed-to-impairment-by-the-end-of-2030</t>
  </si>
  <si>
    <t xml:space="preserve">Epoch AI, Total cost of ownership of a one-gigawatt AI data center ($38B capex, $8.5B/yr)</t>
  </si>
  <si>
    <t xml:space="preserve">14-19 May 2026</t>
  </si>
  <si>
    <t xml:space="preserve">https://epoch.ai/data-insights/ai-datacenter-cost-breakdown</t>
  </si>
  <si>
    <t xml:space="preserve">Carnegie Endowment, The Compute Coalition: How to Build the Future of AI in the Free World</t>
  </si>
  <si>
    <t xml:space="preserve">https://carnegieendowment.org/research/2026/06/the-compute-coalition-how-to-build-the-future-of-ai-in-the-free-world</t>
  </si>
  <si>
    <t xml:space="preserve">IDCA, Global Data Center Report 2026 (67.7 GW footprint; US 29.2 GW; Germany 5.5 GW)</t>
  </si>
  <si>
    <t xml:space="preserve">https://www.idc-a.org/insights/Sk2PFZCost98Eqhk2FUA</t>
  </si>
  <si>
    <t xml:space="preserve">Brookings, Global energy demands within the AI regulatory landscape</t>
  </si>
  <si>
    <t xml:space="preserve">https://www.brookings.edu/articles/global-energy-demands-within-the-ai-regulatory-landscape/</t>
  </si>
  <si>
    <t xml:space="preserve">Qovery, European GPU Clouds: 8 Alternatives to AWS and Azure (Sep 2026 list prices)</t>
  </si>
  <si>
    <t xml:space="preserve">Sep 2026</t>
  </si>
  <si>
    <t xml:space="preserve">https://www.qovery.com/blog/european-gpu-cloud-alternatives-aws-azure-comparison</t>
  </si>
  <si>
    <t xml:space="preserve">Spheron, OVHcloud GPU Pricing 2026: H100 Cost and Sovereign AI (EUR 180M Commission contract)</t>
  </si>
  <si>
    <t xml:space="preserve">https://www.spheron.network/blog/ovhcloud-gpu-pricing-2026-h100-cost-and-sovereign-ai/</t>
  </si>
  <si>
    <t xml:space="preserve">computeprices.com, Nebius GPU pricing (B200 $8.50, H100 $4.50)</t>
  </si>
  <si>
    <t xml:space="preserve">https://computeprices.com/providers/nebius</t>
  </si>
  <si>
    <t xml:space="preserve">EIA, Electricity Monthly Update, End Use, July 2026 (industrial 9.77c/kWh)</t>
  </si>
  <si>
    <t xml:space="preserve">https://www.eia.gov/electricity/monthly/update/end-use.php</t>
  </si>
  <si>
    <t xml:space="preserve">NVIDIA, Financial Results for Second Quarter Fiscal 2027 ($89.0B Data Center, 75% GM)</t>
  </si>
  <si>
    <t xml:space="preserve">https://nvidianews.nvidia.com/news/nvidia-announces-financial-results-for-second-quarter-fiscal-2027</t>
  </si>
  <si>
    <t xml:space="preserve">Jensen Huang, NVIDIA AI Factory Compute Is Becoming an Investable Asset Class (H100 index $2.70)</t>
  </si>
  <si>
    <t xml:space="preserve">https://blogs.nvidia.com/blog/nvidia-ai-factory-compute/</t>
  </si>
  <si>
    <t xml:space="preserve">PwC, Sizing the Prize via World Economic Forum ($15.7T, +14% GDP by 2030)</t>
  </si>
  <si>
    <t xml:space="preserve">https://www.weforum.org/stories/geographies-in-depth/the-global-economy-will-be-14-bigger-in-2030-because-of-ai</t>
  </si>
  <si>
    <t xml:space="preserve">IDC, AI to drive $19.9 trillion through 2030</t>
  </si>
  <si>
    <t xml:space="preserve">https://my.idc.com/getdoc.jsp?containerId=prUS52600524</t>
  </si>
  <si>
    <t xml:space="preserve">Bruegel, How can Europe address its pressing AI compute infrastructure shortfall?</t>
  </si>
  <si>
    <t xml:space="preserve">https://www.bruegel.org/policy-brief/how-can-europe-address-its-pressing-ai-compute-infrastructure-shortfall</t>
  </si>
  <si>
    <t xml:space="preserve">Futurum, AI Capex 2026: The $690B Infrastructure Sprint (13 EuroHPC AI factories; European AI server spend $47B)</t>
  </si>
  <si>
    <t xml:space="preserve">12 Feb 2026</t>
  </si>
  <si>
    <t xml:space="preserve">https://futurumgroup.com/insights/ai-capex-2026-the-690b-infrastructure-sprint/</t>
  </si>
  <si>
    <t xml:space="preserve">Reuters, Nvidia's China AI-chip share falls as Huawei closes gap (IDC: 34% vs 28%, H1 2026)</t>
  </si>
  <si>
    <t xml:space="preserve">13 Oct 2026</t>
  </si>
  <si>
    <t xml:space="preserve">https://www.reuters.com/business/retail-consumer/nvidias-china-ai-chip-share-falls-huawei-closes-gap-report-finds-2026-10-13/</t>
  </si>
  <si>
    <t xml:space="preserve">Avid Solutions summarising McKinsey ($5.2T for 156 GW by 2030) and JLL ($11.3M/MW construction 2026)</t>
  </si>
  <si>
    <t xml:space="preserve">Jan 2026</t>
  </si>
  <si>
    <t xml:space="preserve">https://avidsolutionsinc.com/13-data-center-growth-projections-that-will-shape-2026-2030/</t>
  </si>
</sst>
</file>

<file path=xl/styles.xml><?xml version="1.0" encoding="utf-8"?>
<styleSheet xmlns="http://schemas.openxmlformats.org/spreadsheetml/2006/main">
  <numFmts count="14">
    <numFmt numFmtId="164" formatCode="General"/>
    <numFmt numFmtId="165" formatCode="\$#,##0.0;&quot;($&quot;#,##0.0\);\-"/>
    <numFmt numFmtId="166" formatCode="0.0%;\(0.0%\);\-"/>
    <numFmt numFmtId="167" formatCode="\$#,##0.00;&quot;($&quot;#,##0.00\);\-"/>
    <numFmt numFmtId="168" formatCode="\$#,##0;&quot;($&quot;#,##0\);\-"/>
    <numFmt numFmtId="169" formatCode="#,##0;\(#,##0\);\-"/>
    <numFmt numFmtId="170" formatCode="0.00"/>
    <numFmt numFmtId="171" formatCode="#,##0.0;\(#,##0.0\);\-"/>
    <numFmt numFmtId="172" formatCode="0.0\x"/>
    <numFmt numFmtId="173" formatCode="\$0.0000"/>
    <numFmt numFmtId="174" formatCode="\$0.000"/>
    <numFmt numFmtId="175" formatCode="0"/>
    <numFmt numFmtId="176" formatCode="0.0"/>
    <numFmt numFmtId="177" formatCode="@"/>
  </numFmts>
  <fonts count="14">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10"/>
      <color rgb="FF000000"/>
      <name val="Arial"/>
      <family val="0"/>
      <charset val="1"/>
    </font>
    <font>
      <b val="true"/>
      <sz val="11"/>
      <color rgb="FFFFFFFF"/>
      <name val="Arial"/>
      <family val="0"/>
      <charset val="1"/>
    </font>
    <font>
      <sz val="10"/>
      <color rgb="FF0000FF"/>
      <name val="Arial"/>
      <family val="0"/>
      <charset val="1"/>
    </font>
    <font>
      <sz val="10"/>
      <color rgb="FF008000"/>
      <name val="Arial"/>
      <family val="0"/>
      <charset val="1"/>
    </font>
    <font>
      <b val="true"/>
      <sz val="10"/>
      <color rgb="FF000000"/>
      <name val="Arial"/>
      <family val="0"/>
      <charset val="1"/>
    </font>
    <font>
      <b val="true"/>
      <sz val="10"/>
      <color rgb="FF008000"/>
      <name val="Arial"/>
      <family val="0"/>
      <charset val="1"/>
    </font>
    <font>
      <u val="single"/>
      <sz val="9"/>
      <color rgb="FF0F6B63"/>
      <name val="Arial"/>
      <family val="0"/>
      <charset val="1"/>
    </font>
  </fonts>
  <fills count="5">
    <fill>
      <patternFill patternType="none"/>
    </fill>
    <fill>
      <patternFill patternType="gray125"/>
    </fill>
    <fill>
      <patternFill patternType="solid">
        <fgColor rgb="FF132033"/>
        <bgColor rgb="FF003366"/>
      </patternFill>
    </fill>
    <fill>
      <patternFill patternType="solid">
        <fgColor rgb="FFE6F2F0"/>
        <bgColor rgb="FFFFFFFF"/>
      </patternFill>
    </fill>
    <fill>
      <patternFill patternType="solid">
        <fgColor rgb="FFFFFF00"/>
        <bgColor rgb="FFFFFF00"/>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8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2" borderId="0" xfId="0" applyFont="true" applyBorder="false" applyAlignment="true" applyProtection="false">
      <alignment horizontal="general" vertical="center" textRotation="0" wrapText="tru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5" fontId="9" fillId="0" borderId="0" xfId="0" applyFont="true" applyBorder="false" applyAlignment="false" applyProtection="false">
      <alignment horizontal="general" vertical="bottom" textRotation="0" wrapText="false" indent="0" shrinkToFit="false"/>
      <protection locked="true" hidden="false"/>
    </xf>
    <xf numFmtId="166" fontId="9" fillId="4" borderId="0" xfId="0" applyFont="true" applyBorder="false" applyAlignment="false" applyProtection="false">
      <alignment horizontal="general" vertical="bottom" textRotation="0" wrapText="false" indent="0" shrinkToFit="false"/>
      <protection locked="true" hidden="false"/>
    </xf>
    <xf numFmtId="166" fontId="9" fillId="0" borderId="0" xfId="0" applyFont="true" applyBorder="false" applyAlignment="false" applyProtection="false">
      <alignment horizontal="general" vertical="bottom" textRotation="0" wrapText="false" indent="0" shrinkToFit="false"/>
      <protection locked="true" hidden="false"/>
    </xf>
    <xf numFmtId="167" fontId="9" fillId="0" borderId="0" xfId="0" applyFont="true" applyBorder="false" applyAlignment="false" applyProtection="false">
      <alignment horizontal="general" vertical="bottom" textRotation="0" wrapText="false" indent="0" shrinkToFit="false"/>
      <protection locked="true" hidden="false"/>
    </xf>
    <xf numFmtId="168" fontId="9"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false" applyProtection="false">
      <alignment horizontal="general" vertical="bottom" textRotation="0" wrapText="false" indent="0" shrinkToFit="false"/>
      <protection locked="true" hidden="false"/>
    </xf>
    <xf numFmtId="170" fontId="9" fillId="0" borderId="0" xfId="0" applyFont="true" applyBorder="false" applyAlignment="false" applyProtection="false">
      <alignment horizontal="general" vertical="bottom" textRotation="0" wrapText="false" indent="0" shrinkToFit="false"/>
      <protection locked="true" hidden="false"/>
    </xf>
    <xf numFmtId="171" fontId="9" fillId="0" borderId="0" xfId="0" applyFont="true" applyBorder="false" applyAlignment="false" applyProtection="false">
      <alignment horizontal="general" vertical="bottom" textRotation="0" wrapText="false" indent="0" shrinkToFit="false"/>
      <protection locked="true" hidden="false"/>
    </xf>
    <xf numFmtId="172" fontId="9" fillId="4" borderId="0" xfId="0" applyFont="true" applyBorder="false" applyAlignment="false" applyProtection="false">
      <alignment horizontal="general" vertical="bottom" textRotation="0" wrapText="false" indent="0" shrinkToFit="false"/>
      <protection locked="true" hidden="false"/>
    </xf>
    <xf numFmtId="173" fontId="9" fillId="0" borderId="0" xfId="0" applyFont="true" applyBorder="false" applyAlignment="false" applyProtection="false">
      <alignment horizontal="general" vertical="bottom" textRotation="0" wrapText="false" indent="0" shrinkToFit="false"/>
      <protection locked="true" hidden="false"/>
    </xf>
    <xf numFmtId="174" fontId="9" fillId="4" borderId="0" xfId="0" applyFont="true" applyBorder="false" applyAlignment="false" applyProtection="false">
      <alignment horizontal="general" vertical="bottom" textRotation="0" wrapText="false" indent="0" shrinkToFit="false"/>
      <protection locked="true" hidden="false"/>
    </xf>
    <xf numFmtId="174" fontId="9" fillId="0" borderId="0" xfId="0" applyFont="true" applyBorder="false" applyAlignment="false" applyProtection="false">
      <alignment horizontal="general" vertical="bottom" textRotation="0" wrapText="false" indent="0" shrinkToFit="false"/>
      <protection locked="true" hidden="false"/>
    </xf>
    <xf numFmtId="171" fontId="9" fillId="4" borderId="0" xfId="0" applyFont="true" applyBorder="false" applyAlignment="false" applyProtection="false">
      <alignment horizontal="general" vertical="bottom" textRotation="0" wrapText="false" indent="0" shrinkToFit="false"/>
      <protection locked="true" hidden="false"/>
    </xf>
    <xf numFmtId="175" fontId="9" fillId="0" borderId="0" xfId="0" applyFont="true" applyBorder="false" applyAlignment="false" applyProtection="false">
      <alignment horizontal="general" vertical="bottom" textRotation="0" wrapText="false" indent="0" shrinkToFit="false"/>
      <protection locked="true" hidden="false"/>
    </xf>
    <xf numFmtId="169" fontId="9" fillId="4" borderId="0" xfId="0" applyFont="tru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9" fontId="6" fillId="4"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65" fontId="6" fillId="4" borderId="0" xfId="0" applyFont="tru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70" fontId="0" fillId="0" borderId="0" xfId="0" applyFont="false" applyBorder="false" applyAlignment="false" applyProtection="false">
      <alignment horizontal="general" vertical="bottom" textRotation="0" wrapText="false" indent="0" shrinkToFit="false"/>
      <protection locked="true" hidden="false"/>
    </xf>
    <xf numFmtId="176" fontId="0" fillId="0" borderId="0" xfId="0" applyFont="fals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false" applyProtection="false">
      <alignment horizontal="general" vertical="bottom" textRotation="0" wrapText="false" indent="0" shrinkToFit="false"/>
      <protection locked="true" hidden="false"/>
    </xf>
    <xf numFmtId="164" fontId="6" fillId="4" borderId="0" xfId="0" applyFont="true" applyBorder="false" applyAlignment="false" applyProtection="false">
      <alignment horizontal="general" vertical="bottom" textRotation="0" wrapText="false" indent="0" shrinkToFit="false"/>
      <protection locked="true" hidden="false"/>
    </xf>
    <xf numFmtId="165" fontId="11" fillId="4" borderId="0" xfId="0" applyFont="true" applyBorder="false" applyAlignment="false" applyProtection="false">
      <alignment horizontal="general" vertical="bottom" textRotation="0" wrapText="false" indent="0" shrinkToFit="false"/>
      <protection locked="true" hidden="false"/>
    </xf>
    <xf numFmtId="164" fontId="5" fillId="4" borderId="0" xfId="0" applyFont="true" applyBorder="false" applyAlignment="true" applyProtection="false">
      <alignment horizontal="general" vertical="top" textRotation="0" wrapText="tru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72" fontId="10"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5" fontId="12" fillId="0" borderId="0" xfId="0" applyFont="true" applyBorder="false" applyAlignment="false" applyProtection="false">
      <alignment horizontal="general" vertical="bottom" textRotation="0" wrapText="false" indent="0" shrinkToFit="false"/>
      <protection locked="true" hidden="false"/>
    </xf>
    <xf numFmtId="166" fontId="11" fillId="4" borderId="0" xfId="0" applyFont="true" applyBorder="false" applyAlignment="false" applyProtection="false">
      <alignment horizontal="general" vertical="bottom" textRotation="0" wrapText="false" indent="0" shrinkToFit="false"/>
      <protection locked="true" hidden="false"/>
    </xf>
    <xf numFmtId="170" fontId="10" fillId="0" borderId="0" xfId="0" applyFont="true" applyBorder="false" applyAlignment="false" applyProtection="false">
      <alignment horizontal="general" vertical="bottom" textRotation="0" wrapText="false" indent="0" shrinkToFit="false"/>
      <protection locked="true" hidden="false"/>
    </xf>
    <xf numFmtId="172" fontId="11" fillId="4" borderId="0" xfId="0" applyFont="true" applyBorder="false" applyAlignment="false" applyProtection="false">
      <alignment horizontal="general" vertical="bottom" textRotation="0" wrapText="false" indent="0" shrinkToFit="false"/>
      <protection locked="true" hidden="false"/>
    </xf>
    <xf numFmtId="174" fontId="10" fillId="0" borderId="0" xfId="0" applyFont="true" applyBorder="false" applyAlignment="false" applyProtection="false">
      <alignment horizontal="general" vertical="bottom" textRotation="0" wrapText="false" indent="0" shrinkToFit="false"/>
      <protection locked="true" hidden="false"/>
    </xf>
    <xf numFmtId="176" fontId="9" fillId="0" borderId="0" xfId="0" applyFont="true" applyBorder="false" applyAlignment="false" applyProtection="false">
      <alignment horizontal="general" vertical="bottom" textRotation="0" wrapText="false" indent="0" shrinkToFit="false"/>
      <protection locked="true" hidden="false"/>
    </xf>
    <xf numFmtId="176" fontId="10" fillId="0" borderId="0" xfId="0" applyFont="true" applyBorder="false" applyAlignment="false" applyProtection="false">
      <alignment horizontal="general" vertical="bottom" textRotation="0" wrapText="false" indent="0" shrinkToFit="false"/>
      <protection locked="true" hidden="false"/>
    </xf>
    <xf numFmtId="167" fontId="11" fillId="4"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7" fontId="11" fillId="0" borderId="0" xfId="0" applyFont="true" applyBorder="false" applyAlignment="false" applyProtection="false">
      <alignment horizontal="general" vertical="bottom" textRotation="0" wrapText="false" indent="0" shrinkToFit="false"/>
      <protection locked="true" hidden="false"/>
    </xf>
    <xf numFmtId="168" fontId="7" fillId="0" borderId="0" xfId="0" applyFont="true" applyBorder="false" applyAlignment="false" applyProtection="false">
      <alignment horizontal="general" vertical="bottom" textRotation="0" wrapText="false" indent="0" shrinkToFit="false"/>
      <protection locked="true" hidden="false"/>
    </xf>
    <xf numFmtId="169" fontId="9" fillId="0" borderId="0" xfId="0" applyFont="true" applyBorder="false" applyAlignment="true" applyProtection="false">
      <alignment horizontal="right" vertical="bottom" textRotation="0" wrapText="true" indent="0" shrinkToFit="false"/>
      <protection locked="true" hidden="false"/>
    </xf>
    <xf numFmtId="171" fontId="10" fillId="0" borderId="0" xfId="0" applyFont="true" applyBorder="false" applyAlignment="true" applyProtection="false">
      <alignment horizontal="right" vertical="bottom" textRotation="0" wrapText="true" indent="0" shrinkToFit="false"/>
      <protection locked="true" hidden="false"/>
    </xf>
    <xf numFmtId="171" fontId="9" fillId="0" borderId="0" xfId="0" applyFont="true" applyBorder="false" applyAlignment="true" applyProtection="false">
      <alignment horizontal="right" vertical="bottom" textRotation="0" wrapText="true" indent="0" shrinkToFit="false"/>
      <protection locked="true" hidden="false"/>
    </xf>
    <xf numFmtId="169" fontId="11" fillId="0" borderId="0" xfId="0" applyFont="true" applyBorder="false" applyAlignment="true" applyProtection="false">
      <alignment horizontal="right" vertical="bottom" textRotation="0" wrapText="true" indent="0" shrinkToFit="false"/>
      <protection locked="true" hidden="false"/>
    </xf>
    <xf numFmtId="177" fontId="9" fillId="0" borderId="0" xfId="0" applyFont="true" applyBorder="false" applyAlignment="true" applyProtection="false">
      <alignment horizontal="right" vertical="bottom" textRotation="0" wrapText="true" indent="0" shrinkToFit="false"/>
      <protection locked="true" hidden="false"/>
    </xf>
    <xf numFmtId="174" fontId="10" fillId="0" borderId="0" xfId="0" applyFont="true" applyBorder="false" applyAlignment="true" applyProtection="false">
      <alignment horizontal="right" vertical="bottom" textRotation="0" wrapText="true" indent="0" shrinkToFit="false"/>
      <protection locked="true" hidden="false"/>
    </xf>
    <xf numFmtId="170" fontId="10" fillId="0" borderId="0" xfId="0" applyFont="true" applyBorder="false" applyAlignment="true" applyProtection="false">
      <alignment horizontal="right" vertical="bottom" textRotation="0" wrapText="true" indent="0" shrinkToFit="false"/>
      <protection locked="true" hidden="false"/>
    </xf>
    <xf numFmtId="170" fontId="9" fillId="0" borderId="0" xfId="0" applyFont="true" applyBorder="false" applyAlignment="true" applyProtection="false">
      <alignment horizontal="right" vertical="bottom" textRotation="0" wrapText="true" indent="0" shrinkToFit="false"/>
      <protection locked="true" hidden="false"/>
    </xf>
    <xf numFmtId="167" fontId="11" fillId="0" borderId="0" xfId="0" applyFont="true" applyBorder="false" applyAlignment="true" applyProtection="false">
      <alignment horizontal="right" vertical="bottom" textRotation="0" wrapText="true" indent="0" shrinkToFit="false"/>
      <protection locked="true" hidden="false"/>
    </xf>
    <xf numFmtId="167" fontId="7" fillId="0" borderId="0" xfId="0" applyFont="true" applyBorder="false" applyAlignment="true" applyProtection="false">
      <alignment horizontal="right" vertical="bottom" textRotation="0" wrapText="true" indent="0" shrinkToFit="false"/>
      <protection locked="true" hidden="false"/>
    </xf>
    <xf numFmtId="167" fontId="11" fillId="4" borderId="0" xfId="0" applyFont="true" applyBorder="false" applyAlignment="true" applyProtection="false">
      <alignment horizontal="right" vertical="bottom" textRotation="0" wrapText="true" indent="0" shrinkToFit="false"/>
      <protection locked="true" hidden="false"/>
    </xf>
    <xf numFmtId="176" fontId="9" fillId="0" borderId="0" xfId="0" applyFont="true" applyBorder="false" applyAlignment="true" applyProtection="false">
      <alignment horizontal="right" vertical="bottom" textRotation="0" wrapText="true" indent="0" shrinkToFit="false"/>
      <protection locked="true" hidden="false"/>
    </xf>
    <xf numFmtId="176" fontId="10" fillId="0" borderId="0" xfId="0" applyFont="true" applyBorder="false" applyAlignment="true" applyProtection="false">
      <alignment horizontal="right" vertical="bottom" textRotation="0" wrapText="true" indent="0" shrinkToFit="false"/>
      <protection locked="true" hidden="false"/>
    </xf>
    <xf numFmtId="166" fontId="9" fillId="0" borderId="0" xfId="0" applyFont="true" applyBorder="false" applyAlignment="true" applyProtection="false">
      <alignment horizontal="right" vertical="bottom" textRotation="0" wrapText="true" indent="0" shrinkToFit="false"/>
      <protection locked="true" hidden="false"/>
    </xf>
    <xf numFmtId="166" fontId="10" fillId="0" borderId="0" xfId="0" applyFont="true" applyBorder="false" applyAlignment="true" applyProtection="false">
      <alignment horizontal="right" vertical="bottom" textRotation="0" wrapText="true" indent="0" shrinkToFit="false"/>
      <protection locked="true" hidden="false"/>
    </xf>
    <xf numFmtId="169" fontId="7" fillId="0" borderId="0" xfId="0" applyFont="true" applyBorder="false" applyAlignment="true" applyProtection="false">
      <alignment horizontal="right" vertical="bottom" textRotation="0" wrapText="true" indent="0" shrinkToFit="false"/>
      <protection locked="true" hidden="false"/>
    </xf>
    <xf numFmtId="167" fontId="9" fillId="0" borderId="0" xfId="0" applyFont="true" applyBorder="false" applyAlignment="true" applyProtection="false">
      <alignment horizontal="right" vertical="bottom" textRotation="0" wrapText="true" indent="0" shrinkToFit="false"/>
      <protection locked="true" hidden="false"/>
    </xf>
    <xf numFmtId="167" fontId="10" fillId="0" borderId="0" xfId="0" applyFont="true" applyBorder="false" applyAlignment="true" applyProtection="false">
      <alignment horizontal="right" vertical="bottom" textRotation="0" wrapText="true" indent="0" shrinkToFit="false"/>
      <protection locked="true" hidden="false"/>
    </xf>
    <xf numFmtId="165" fontId="11" fillId="4" borderId="0" xfId="0" applyFont="true" applyBorder="false" applyAlignment="true" applyProtection="false">
      <alignment horizontal="right" vertical="bottom" textRotation="0" wrapText="true" indent="0" shrinkToFit="false"/>
      <protection locked="true" hidden="false"/>
    </xf>
    <xf numFmtId="167" fontId="12" fillId="0" borderId="0" xfId="0" applyFont="true" applyBorder="false" applyAlignment="false" applyProtection="false">
      <alignment horizontal="general" vertical="bottom" textRotation="0" wrapText="false" indent="0" shrinkToFit="false"/>
      <protection locked="true" hidden="false"/>
    </xf>
    <xf numFmtId="167" fontId="10"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8" fontId="10" fillId="0" borderId="0" xfId="0" applyFont="true" applyBorder="false" applyAlignment="false" applyProtection="false">
      <alignment horizontal="general" vertical="bottom" textRotation="0" wrapText="false" indent="0" shrinkToFit="false"/>
      <protection locked="true" hidden="false"/>
    </xf>
    <xf numFmtId="177" fontId="7" fillId="0" borderId="0" xfId="0" applyFont="true" applyBorder="false" applyAlignment="false" applyProtection="false">
      <alignment horizontal="general" vertical="bottom" textRotation="0" wrapText="false" indent="0" shrinkToFit="false"/>
      <protection locked="true" hidden="false"/>
    </xf>
    <xf numFmtId="176" fontId="11" fillId="4" borderId="0" xfId="0" applyFont="true" applyBorder="false" applyAlignment="false" applyProtection="false">
      <alignment horizontal="general" vertical="bottom" textRotation="0" wrapText="false" indent="0" shrinkToFit="false"/>
      <protection locked="true" hidden="false"/>
    </xf>
    <xf numFmtId="170" fontId="11" fillId="4" borderId="0" xfId="0" applyFont="true" applyBorder="false" applyAlignment="false" applyProtection="false">
      <alignment horizontal="general" vertical="bottom" textRotation="0" wrapText="false" indent="0" shrinkToFit="false"/>
      <protection locked="true" hidden="false"/>
    </xf>
    <xf numFmtId="172" fontId="11" fillId="0" borderId="0" xfId="0" applyFont="true" applyBorder="false" applyAlignment="false" applyProtection="false">
      <alignment horizontal="general" vertical="bottom" textRotation="0" wrapText="false" indent="0" shrinkToFit="false"/>
      <protection locked="true" hidden="false"/>
    </xf>
    <xf numFmtId="164" fontId="13"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F6B63"/>
      <rgbColor rgb="FFC0C0C0"/>
      <rgbColor rgb="FF808080"/>
      <rgbColor rgb="FF9999FF"/>
      <rgbColor rgb="FF993366"/>
      <rgbColor rgb="FFFFFFCC"/>
      <rgbColor rgb="FFE6F2F0"/>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333399"/>
      <rgbColor rgb="FF1320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9.xml.rels><?xml version="1.0" encoding="UTF-8"?>
<Relationships xmlns="http://schemas.openxmlformats.org/package/2006/relationships"><Relationship Id="rId1" Type="http://schemas.openxmlformats.org/officeDocument/2006/relationships/hyperlink" Target="https://fortune.com/2026/10/15/nvidias-european-spending-spree-is-about-much-more-than-europe/" TargetMode="External"/><Relationship Id="rId2" Type="http://schemas.openxmlformats.org/officeDocument/2006/relationships/hyperlink" Target="https://www.stateof.ai/" TargetMode="External"/><Relationship Id="rId3" Type="http://schemas.openxmlformats.org/officeDocument/2006/relationships/hyperlink" Target="https://vision2030.ai/analysis/humain-ai-infrastructure/" TargetMode="External"/><Relationship Id="rId4" Type="http://schemas.openxmlformats.org/officeDocument/2006/relationships/hyperlink" Target="https://saudimarketresearchconsulting.com/insights/articles/humain-saudi-arabia-a-bold-sovereign-ai-push-reshaping-infrastructure-and-markets" TargetMode="External"/><Relationship Id="rId5" Type="http://schemas.openxmlformats.org/officeDocument/2006/relationships/hyperlink" Target="https://www.qualcomm.com/news/releases/2025/10/humain-and-qualcomm-to-deploy-ai-infrastructure-in-saudi-arabia-" TargetMode="External"/><Relationship Id="rId6" Type="http://schemas.openxmlformats.org/officeDocument/2006/relationships/hyperlink" Target="https://www.commerce.gov/news/press-releases/2025/11/statement-uae-and-saudi-chip-exports" TargetMode="External"/><Relationship Id="rId7" Type="http://schemas.openxmlformats.org/officeDocument/2006/relationships/hyperlink" Target="https://www.reuters.com/business/us-authorizes-export-advanced-american-semiconductors-companies-saudi-uae-2025-11-19/" TargetMode="External"/><Relationship Id="rId8" Type="http://schemas.openxmlformats.org/officeDocument/2006/relationships/hyperlink" Target="https://openai.com/index/introducing-stargate-uae/" TargetMode="External"/><Relationship Id="rId9" Type="http://schemas.openxmlformats.org/officeDocument/2006/relationships/hyperlink" Target="https://www.g42.ai/resources/news/global-tech-alliance-launches-stargate-uae" TargetMode="External"/><Relationship Id="rId10" Type="http://schemas.openxmlformats.org/officeDocument/2006/relationships/hyperlink" Target="https://thetechcapital.com/first-200mw-of-stargate-uae-will-come-online-in-2026-says-g42-chief" TargetMode="External"/><Relationship Id="rId11" Type="http://schemas.openxmlformats.org/officeDocument/2006/relationships/hyperlink" Target="https://digital-strategy.ec.europa.eu/en/policies/ai-factories" TargetMode="External"/><Relationship Id="rId12" Type="http://schemas.openxmlformats.org/officeDocument/2006/relationships/hyperlink" Target="https://www.eib.org/en/press/all/2025-491-eib-group-and-european-commission-join-forces-to-finance-ai-gigafactories" TargetMode="External"/><Relationship Id="rId13" Type="http://schemas.openxmlformats.org/officeDocument/2006/relationships/hyperlink" Target="https://whoownsai.org/who-owns-ai.pdf" TargetMode="External"/><Relationship Id="rId14" Type="http://schemas.openxmlformats.org/officeDocument/2006/relationships/hyperlink" Target="https://www.telekom.com/en/newsroom/latest-updates/media-information/2025/11/for-a-sovereign-germany" TargetMode="External"/><Relationship Id="rId15" Type="http://schemas.openxmlformats.org/officeDocument/2006/relationships/hyperlink" Target="https://www.nscale.com/press-releases/nscale-uk-ai-infrastructure-announcement" TargetMode="External"/><Relationship Id="rId16" Type="http://schemas.openxmlformats.org/officeDocument/2006/relationships/hyperlink" Target="https://openai.com/index/introducing-stargate-uk/" TargetMode="External"/><Relationship Id="rId17" Type="http://schemas.openxmlformats.org/officeDocument/2006/relationships/hyperlink" Target="https://investor.nvidia.com/news/press-release-details/2025/NVIDIA-South-Korea-Government-and-Industrial-Giants-Build-AI-Infrastructure-and-Ecosystem-to-Fuel-Korea-Innovation-Industries-and-Jobs/default.aspx" TargetMode="External"/><Relationship Id="rId18" Type="http://schemas.openxmlformats.org/officeDocument/2006/relationships/hyperlink" Target="https://www.spheron.network/blog/gpu-cloud-providers-japan-2026/" TargetMode="External"/><Relationship Id="rId19" Type="http://schemas.openxmlformats.org/officeDocument/2006/relationships/hyperlink" Target="https://indiaai.gov.in/hub/indiaai-compute-capacity" TargetMode="External"/><Relationship Id="rId20" Type="http://schemas.openxmlformats.org/officeDocument/2006/relationships/hyperlink" Target="https://introl.com/blog/malaysia-thailand-emerging-ai-data-center-hubs-southeast-asia" TargetMode="External"/><Relationship Id="rId21" Type="http://schemas.openxmlformats.org/officeDocument/2006/relationships/hyperlink" Target="https://digitalinasia.com/southeast-asia-ai-data-centre-boom/" TargetMode="External"/><Relationship Id="rId22" Type="http://schemas.openxmlformats.org/officeDocument/2006/relationships/hyperlink" Target="https://www.googlecloudpresscorner.com/2026-01-21-Google-Cloud-Launches-New-Cloud-Region-in-Thailand,-Bolstering-its-Commitment-to-Advancing-the-Countrys-AI-Driven-Digital-Economy" TargetMode="External"/><Relationship Id="rId23" Type="http://schemas.openxmlformats.org/officeDocument/2006/relationships/hyperlink" Target="https://finance.yahoo.com/technology/ai/articles/sovereign-ai-market-reach-usd-151500186.html" TargetMode="External"/><Relationship Id="rId24" Type="http://schemas.openxmlformats.org/officeDocument/2006/relationships/hyperlink" Target="https://www.grandviewresearch.com/industry-analysis/sovereign-ai-market-report" TargetMode="External"/><Relationship Id="rId25" Type="http://schemas.openxmlformats.org/officeDocument/2006/relationships/hyperlink" Target="https://www.precedenceresearch.com/sovereign-ai-infrastructure-market" TargetMode="External"/><Relationship Id="rId26" Type="http://schemas.openxmlformats.org/officeDocument/2006/relationships/hyperlink" Target="https://www.snsinsider.com/reports/sovereign-ai-infrastructure-market-10918" TargetMode="External"/><Relationship Id="rId27" Type="http://schemas.openxmlformats.org/officeDocument/2006/relationships/hyperlink" Target="https://www.gartner.com/en/newsroom/press-releases/2026-09-16-gartner-forecasts-worldwide-ai-spending-to-grow-49-point-5-percent-in-2026" TargetMode="External"/><Relationship Id="rId28" Type="http://schemas.openxmlformats.org/officeDocument/2006/relationships/hyperlink" Target="https://www.gartner.com/en/newsroom/press-releases/2026-10-14-gartner-says-over-us-dollars-three-and-a-half-trillion-of-artificial-intelligence-infrastructure-spending-could-be-exposed-to-impairment-by-the-end-of-2030" TargetMode="External"/><Relationship Id="rId29" Type="http://schemas.openxmlformats.org/officeDocument/2006/relationships/hyperlink" Target="https://epoch.ai/data-insights/ai-datacenter-cost-breakdown" TargetMode="External"/><Relationship Id="rId30" Type="http://schemas.openxmlformats.org/officeDocument/2006/relationships/hyperlink" Target="https://carnegieendowment.org/research/2026/06/the-compute-coalition-how-to-build-the-future-of-ai-in-the-free-world" TargetMode="External"/><Relationship Id="rId31" Type="http://schemas.openxmlformats.org/officeDocument/2006/relationships/hyperlink" Target="https://www.idc-a.org/insights/Sk2PFZCost98Eqhk2FUA" TargetMode="External"/><Relationship Id="rId32" Type="http://schemas.openxmlformats.org/officeDocument/2006/relationships/hyperlink" Target="https://www.brookings.edu/articles/global-energy-demands-within-the-ai-regulatory-landscape/" TargetMode="External"/><Relationship Id="rId33" Type="http://schemas.openxmlformats.org/officeDocument/2006/relationships/hyperlink" Target="https://www.qovery.com/blog/european-gpu-cloud-alternatives-aws-azure-comparison" TargetMode="External"/><Relationship Id="rId34" Type="http://schemas.openxmlformats.org/officeDocument/2006/relationships/hyperlink" Target="https://www.spheron.network/blog/ovhcloud-gpu-pricing-2026-h100-cost-and-sovereign-ai/" TargetMode="External"/><Relationship Id="rId35" Type="http://schemas.openxmlformats.org/officeDocument/2006/relationships/hyperlink" Target="https://computeprices.com/providers/nebius" TargetMode="External"/><Relationship Id="rId36" Type="http://schemas.openxmlformats.org/officeDocument/2006/relationships/hyperlink" Target="https://www.eia.gov/electricity/monthly/update/end-use.php" TargetMode="External"/><Relationship Id="rId37" Type="http://schemas.openxmlformats.org/officeDocument/2006/relationships/hyperlink" Target="https://nvidianews.nvidia.com/news/nvidia-announces-financial-results-for-second-quarter-fiscal-2027" TargetMode="External"/><Relationship Id="rId38" Type="http://schemas.openxmlformats.org/officeDocument/2006/relationships/hyperlink" Target="https://blogs.nvidia.com/blog/nvidia-ai-factory-compute/" TargetMode="External"/><Relationship Id="rId39" Type="http://schemas.openxmlformats.org/officeDocument/2006/relationships/hyperlink" Target="https://www.weforum.org/stories/geographies-in-depth/the-global-economy-will-be-14-bigger-in-2030-because-of-ai" TargetMode="External"/><Relationship Id="rId40" Type="http://schemas.openxmlformats.org/officeDocument/2006/relationships/hyperlink" Target="https://my.idc.com/getdoc.jsp?containerId=prUS52600524" TargetMode="External"/><Relationship Id="rId41" Type="http://schemas.openxmlformats.org/officeDocument/2006/relationships/hyperlink" Target="https://www.bruegel.org/policy-brief/how-can-europe-address-its-pressing-ai-compute-infrastructure-shortfall" TargetMode="External"/><Relationship Id="rId42" Type="http://schemas.openxmlformats.org/officeDocument/2006/relationships/hyperlink" Target="https://futurumgroup.com/insights/ai-capex-2026-the-690b-infrastructure-sprint/" TargetMode="External"/><Relationship Id="rId43" Type="http://schemas.openxmlformats.org/officeDocument/2006/relationships/hyperlink" Target="https://www.reuters.com/business/retail-consumer/nvidias-china-ai-chip-share-falls-huawei-closes-gap-report-finds-2026-10-13/" TargetMode="External"/><Relationship Id="rId44" Type="http://schemas.openxmlformats.org/officeDocument/2006/relationships/hyperlink" Target="https://avidsolutionsinc.com/13-data-center-growth-projections-that-will-shape-2026-2030/"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22"/>
    <col collapsed="false" customWidth="true" hidden="false" outlineLevel="0" max="2" min="2" style="0" width="120"/>
  </cols>
  <sheetData>
    <row r="1" customFormat="false" ht="17.35"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row>
    <row r="5" customFormat="false" ht="15" hidden="false" customHeight="false" outlineLevel="0" collapsed="false">
      <c r="A5" s="5" t="s">
        <v>3</v>
      </c>
      <c r="B5" s="4" t="s">
        <v>4</v>
      </c>
    </row>
    <row r="6" customFormat="false" ht="15" hidden="false" customHeight="false" outlineLevel="0" collapsed="false">
      <c r="A6" s="5" t="s">
        <v>5</v>
      </c>
      <c r="B6" s="4" t="s">
        <v>6</v>
      </c>
    </row>
    <row r="7" customFormat="false" ht="15" hidden="false" customHeight="false" outlineLevel="0" collapsed="false">
      <c r="A7" s="5" t="s">
        <v>7</v>
      </c>
      <c r="B7" s="4" t="s">
        <v>8</v>
      </c>
    </row>
    <row r="8" customFormat="false" ht="15" hidden="false" customHeight="false" outlineLevel="0" collapsed="false">
      <c r="A8" s="5" t="s">
        <v>9</v>
      </c>
      <c r="B8" s="4" t="s">
        <v>10</v>
      </c>
    </row>
    <row r="9" customFormat="false" ht="15" hidden="false" customHeight="false" outlineLevel="0" collapsed="false">
      <c r="A9" s="5" t="s">
        <v>11</v>
      </c>
      <c r="B9" s="4" t="s">
        <v>12</v>
      </c>
    </row>
    <row r="10" customFormat="false" ht="15" hidden="false" customHeight="false" outlineLevel="0" collapsed="false">
      <c r="A10" s="3"/>
      <c r="B10" s="4"/>
    </row>
    <row r="11" customFormat="false" ht="15" hidden="false" customHeight="false" outlineLevel="0" collapsed="false">
      <c r="A11" s="3" t="s">
        <v>13</v>
      </c>
      <c r="B11" s="4"/>
    </row>
    <row r="12" customFormat="false" ht="15" hidden="false" customHeight="false" outlineLevel="0" collapsed="false">
      <c r="A12" s="5" t="s">
        <v>14</v>
      </c>
      <c r="B12" s="4" t="s">
        <v>15</v>
      </c>
    </row>
    <row r="13" customFormat="false" ht="23.85" hidden="false" customHeight="false" outlineLevel="0" collapsed="false">
      <c r="A13" s="5" t="s">
        <v>16</v>
      </c>
      <c r="B13" s="4" t="s">
        <v>17</v>
      </c>
    </row>
    <row r="14" customFormat="false" ht="15" hidden="false" customHeight="false" outlineLevel="0" collapsed="false">
      <c r="A14" s="5" t="s">
        <v>18</v>
      </c>
      <c r="B14" s="4" t="s">
        <v>19</v>
      </c>
    </row>
    <row r="15" customFormat="false" ht="15" hidden="false" customHeight="false" outlineLevel="0" collapsed="false">
      <c r="A15" s="5" t="s">
        <v>20</v>
      </c>
      <c r="B15" s="4" t="s">
        <v>21</v>
      </c>
    </row>
    <row r="16" customFormat="false" ht="15" hidden="false" customHeight="false" outlineLevel="0" collapsed="false">
      <c r="A16" s="5" t="s">
        <v>22</v>
      </c>
      <c r="B16" s="4" t="s">
        <v>23</v>
      </c>
    </row>
    <row r="17" customFormat="false" ht="15" hidden="false" customHeight="false" outlineLevel="0" collapsed="false">
      <c r="A17" s="5" t="s">
        <v>24</v>
      </c>
      <c r="B17" s="4" t="s">
        <v>25</v>
      </c>
    </row>
    <row r="18" customFormat="false" ht="15" hidden="false" customHeight="false" outlineLevel="0" collapsed="false">
      <c r="A18" s="5" t="s">
        <v>26</v>
      </c>
      <c r="B18" s="4" t="s">
        <v>27</v>
      </c>
    </row>
    <row r="19" customFormat="false" ht="15" hidden="false" customHeight="false" outlineLevel="0" collapsed="false">
      <c r="A19" s="5" t="s">
        <v>28</v>
      </c>
      <c r="B19" s="4" t="s">
        <v>29</v>
      </c>
    </row>
    <row r="20" customFormat="false" ht="15" hidden="false" customHeight="false" outlineLevel="0" collapsed="false">
      <c r="A20" s="3"/>
      <c r="B20" s="4"/>
    </row>
    <row r="21" customFormat="false" ht="15" hidden="false" customHeight="false" outlineLevel="0" collapsed="false">
      <c r="A21" s="5" t="s">
        <v>30</v>
      </c>
      <c r="B21" s="4" t="s">
        <v>31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64"/>
    <col collapsed="false" customWidth="true" hidden="false" outlineLevel="0" max="4" min="3" style="0" width="16"/>
    <col collapsed="false" customWidth="true" hidden="false" outlineLevel="0" max="5" min="5" style="0" width="14"/>
    <col collapsed="false" customWidth="true" hidden="false" outlineLevel="0" max="6" min="6" style="0" width="110"/>
  </cols>
  <sheetData>
    <row r="1" customFormat="false" ht="17.35" hidden="false" customHeight="false" outlineLevel="0" collapsed="false">
      <c r="A1" s="1" t="s">
        <v>32</v>
      </c>
    </row>
    <row r="2" customFormat="false" ht="15" hidden="false" customHeight="false" outlineLevel="0" collapsed="false">
      <c r="A2" s="2" t="s">
        <v>33</v>
      </c>
    </row>
    <row r="4" customFormat="false" ht="15" hidden="false" customHeight="false" outlineLevel="0" collapsed="false">
      <c r="A4" s="6" t="s">
        <v>34</v>
      </c>
      <c r="B4" s="6" t="s">
        <v>35</v>
      </c>
      <c r="C4" s="6" t="s">
        <v>26</v>
      </c>
      <c r="D4" s="6" t="s">
        <v>36</v>
      </c>
      <c r="E4" s="6" t="s">
        <v>37</v>
      </c>
      <c r="F4" s="6" t="s">
        <v>38</v>
      </c>
    </row>
    <row r="5" customFormat="false" ht="15" hidden="false" customHeight="false" outlineLevel="0" collapsed="false">
      <c r="A5" s="7"/>
      <c r="B5" s="8" t="s">
        <v>39</v>
      </c>
      <c r="C5" s="7"/>
      <c r="D5" s="7"/>
      <c r="E5" s="7"/>
      <c r="F5" s="7"/>
    </row>
    <row r="6" customFormat="false" ht="15" hidden="false" customHeight="false" outlineLevel="0" collapsed="false">
      <c r="A6" s="2" t="s">
        <v>40</v>
      </c>
      <c r="B6" s="5" t="s">
        <v>41</v>
      </c>
      <c r="C6" s="9" t="n">
        <v>30</v>
      </c>
      <c r="D6" s="5" t="s">
        <v>42</v>
      </c>
      <c r="E6" s="5" t="s">
        <v>43</v>
      </c>
      <c r="F6" s="2" t="s">
        <v>44</v>
      </c>
    </row>
    <row r="7" customFormat="false" ht="15" hidden="false" customHeight="false" outlineLevel="0" collapsed="false">
      <c r="A7" s="2" t="s">
        <v>45</v>
      </c>
      <c r="B7" s="5" t="s">
        <v>46</v>
      </c>
      <c r="C7" s="10" t="n">
        <v>0.4</v>
      </c>
      <c r="D7" s="5" t="s">
        <v>47</v>
      </c>
      <c r="E7" s="5" t="s">
        <v>48</v>
      </c>
      <c r="F7" s="2" t="s">
        <v>49</v>
      </c>
    </row>
    <row r="8" customFormat="false" ht="15" hidden="false" customHeight="false" outlineLevel="0" collapsed="false">
      <c r="A8" s="2" t="s">
        <v>50</v>
      </c>
      <c r="B8" s="5" t="s">
        <v>51</v>
      </c>
      <c r="C8" s="10" t="n">
        <v>0.85</v>
      </c>
      <c r="D8" s="5" t="s">
        <v>47</v>
      </c>
      <c r="E8" s="5" t="s">
        <v>52</v>
      </c>
      <c r="F8" s="2" t="s">
        <v>53</v>
      </c>
    </row>
    <row r="9" customFormat="false" ht="15" hidden="false" customHeight="false" outlineLevel="0" collapsed="false">
      <c r="A9" s="2" t="s">
        <v>54</v>
      </c>
      <c r="B9" s="5" t="s">
        <v>55</v>
      </c>
      <c r="C9" s="11" t="n">
        <v>0.64</v>
      </c>
      <c r="D9" s="5" t="s">
        <v>47</v>
      </c>
      <c r="E9" s="5" t="s">
        <v>56</v>
      </c>
      <c r="F9" s="2" t="s">
        <v>57</v>
      </c>
    </row>
    <row r="10" customFormat="false" ht="15" hidden="false" customHeight="false" outlineLevel="0" collapsed="false">
      <c r="A10" s="2" t="s">
        <v>58</v>
      </c>
      <c r="B10" s="5" t="s">
        <v>59</v>
      </c>
      <c r="C10" s="9" t="n">
        <v>40</v>
      </c>
      <c r="D10" s="5" t="s">
        <v>42</v>
      </c>
      <c r="E10" s="5" t="s">
        <v>60</v>
      </c>
      <c r="F10" s="2" t="s">
        <v>61</v>
      </c>
    </row>
    <row r="11" customFormat="false" ht="15" hidden="false" customHeight="false" outlineLevel="0" collapsed="false">
      <c r="A11" s="2" t="s">
        <v>62</v>
      </c>
      <c r="B11" s="5" t="s">
        <v>63</v>
      </c>
      <c r="C11" s="11" t="n">
        <v>0.206</v>
      </c>
      <c r="D11" s="5" t="s">
        <v>47</v>
      </c>
      <c r="E11" s="5" t="s">
        <v>60</v>
      </c>
      <c r="F11" s="2" t="s">
        <v>64</v>
      </c>
    </row>
    <row r="12" customFormat="false" ht="15" hidden="false" customHeight="false" outlineLevel="0" collapsed="false">
      <c r="A12" s="2" t="s">
        <v>65</v>
      </c>
      <c r="B12" s="5" t="s">
        <v>66</v>
      </c>
      <c r="C12" s="9" t="n">
        <v>48.9</v>
      </c>
      <c r="D12" s="5" t="s">
        <v>42</v>
      </c>
      <c r="E12" s="5" t="s">
        <v>52</v>
      </c>
      <c r="F12" s="2" t="s">
        <v>67</v>
      </c>
    </row>
    <row r="13" customFormat="false" ht="15" hidden="false" customHeight="false" outlineLevel="0" collapsed="false">
      <c r="A13" s="2" t="s">
        <v>68</v>
      </c>
      <c r="B13" s="5" t="s">
        <v>69</v>
      </c>
      <c r="C13" s="11" t="n">
        <v>0.48</v>
      </c>
      <c r="D13" s="5" t="s">
        <v>47</v>
      </c>
      <c r="E13" s="5" t="s">
        <v>52</v>
      </c>
      <c r="F13" s="2" t="s">
        <v>70</v>
      </c>
    </row>
    <row r="14" customFormat="false" ht="15" hidden="false" customHeight="false" outlineLevel="0" collapsed="false">
      <c r="A14" s="2" t="s">
        <v>71</v>
      </c>
      <c r="B14" s="5" t="s">
        <v>72</v>
      </c>
      <c r="C14" s="9" t="n">
        <v>19.2</v>
      </c>
      <c r="D14" s="5" t="s">
        <v>42</v>
      </c>
      <c r="E14" s="5" t="s">
        <v>52</v>
      </c>
      <c r="F14" s="2" t="s">
        <v>73</v>
      </c>
    </row>
    <row r="15" customFormat="false" ht="15" hidden="false" customHeight="false" outlineLevel="0" collapsed="false">
      <c r="A15" s="2" t="s">
        <v>74</v>
      </c>
      <c r="B15" s="5" t="s">
        <v>75</v>
      </c>
      <c r="C15" s="12" t="n">
        <v>17.81</v>
      </c>
      <c r="D15" s="5" t="s">
        <v>42</v>
      </c>
      <c r="E15" s="5" t="s">
        <v>52</v>
      </c>
      <c r="F15" s="2" t="s">
        <v>76</v>
      </c>
    </row>
    <row r="16" customFormat="false" ht="15" hidden="false" customHeight="false" outlineLevel="0" collapsed="false">
      <c r="A16" s="2" t="s">
        <v>77</v>
      </c>
      <c r="B16" s="5" t="s">
        <v>78</v>
      </c>
      <c r="C16" s="9" t="n">
        <v>1484.4</v>
      </c>
      <c r="D16" s="5" t="s">
        <v>42</v>
      </c>
      <c r="E16" s="5" t="s">
        <v>79</v>
      </c>
      <c r="F16" s="2" t="s">
        <v>80</v>
      </c>
    </row>
    <row r="17" customFormat="false" ht="15" hidden="false" customHeight="false" outlineLevel="0" collapsed="false">
      <c r="A17" s="2" t="s">
        <v>81</v>
      </c>
      <c r="B17" s="5" t="s">
        <v>82</v>
      </c>
      <c r="C17" s="13" t="n">
        <v>1000</v>
      </c>
      <c r="D17" s="5" t="s">
        <v>42</v>
      </c>
      <c r="E17" s="5" t="s">
        <v>83</v>
      </c>
      <c r="F17" s="2" t="s">
        <v>84</v>
      </c>
    </row>
    <row r="18" customFormat="false" ht="15" hidden="false" customHeight="false" outlineLevel="0" collapsed="false">
      <c r="A18" s="2" t="s">
        <v>85</v>
      </c>
      <c r="B18" s="5" t="s">
        <v>86</v>
      </c>
      <c r="C18" s="13" t="n">
        <v>733</v>
      </c>
      <c r="D18" s="5" t="s">
        <v>42</v>
      </c>
      <c r="E18" s="5" t="s">
        <v>87</v>
      </c>
      <c r="F18" s="2" t="s">
        <v>88</v>
      </c>
    </row>
    <row r="19" customFormat="false" ht="15" hidden="false" customHeight="false" outlineLevel="0" collapsed="false">
      <c r="A19" s="7"/>
      <c r="B19" s="8" t="s">
        <v>89</v>
      </c>
      <c r="C19" s="7"/>
      <c r="D19" s="7"/>
      <c r="E19" s="7"/>
      <c r="F19" s="7"/>
    </row>
    <row r="20" customFormat="false" ht="15" hidden="false" customHeight="false" outlineLevel="0" collapsed="false">
      <c r="A20" s="2" t="s">
        <v>90</v>
      </c>
      <c r="B20" s="5" t="s">
        <v>91</v>
      </c>
      <c r="C20" s="14" t="n">
        <v>10</v>
      </c>
      <c r="D20" s="5" t="s">
        <v>92</v>
      </c>
      <c r="E20" s="5" t="s">
        <v>93</v>
      </c>
      <c r="F20" s="2" t="s">
        <v>94</v>
      </c>
    </row>
    <row r="21" customFormat="false" ht="15" hidden="false" customHeight="false" outlineLevel="0" collapsed="false">
      <c r="A21" s="2" t="s">
        <v>95</v>
      </c>
      <c r="B21" s="5" t="s">
        <v>96</v>
      </c>
      <c r="C21" s="14" t="n">
        <v>10</v>
      </c>
      <c r="D21" s="5" t="s">
        <v>92</v>
      </c>
      <c r="E21" s="5" t="s">
        <v>93</v>
      </c>
      <c r="F21" s="2" t="s">
        <v>97</v>
      </c>
    </row>
    <row r="22" customFormat="false" ht="15" hidden="false" customHeight="false" outlineLevel="0" collapsed="false">
      <c r="A22" s="2" t="s">
        <v>98</v>
      </c>
      <c r="B22" s="5" t="s">
        <v>99</v>
      </c>
      <c r="C22" s="14" t="n">
        <v>5</v>
      </c>
      <c r="D22" s="5" t="s">
        <v>100</v>
      </c>
      <c r="E22" s="5" t="s">
        <v>48</v>
      </c>
      <c r="F22" s="2" t="s">
        <v>101</v>
      </c>
    </row>
    <row r="23" customFormat="false" ht="15" hidden="false" customHeight="false" outlineLevel="0" collapsed="false">
      <c r="A23" s="2" t="s">
        <v>102</v>
      </c>
      <c r="B23" s="5" t="s">
        <v>103</v>
      </c>
      <c r="C23" s="15" t="n">
        <v>1.08</v>
      </c>
      <c r="D23" s="5" t="s">
        <v>104</v>
      </c>
      <c r="E23" s="5" t="s">
        <v>87</v>
      </c>
      <c r="F23" s="2" t="s">
        <v>105</v>
      </c>
    </row>
    <row r="24" customFormat="false" ht="15" hidden="false" customHeight="false" outlineLevel="0" collapsed="false">
      <c r="A24" s="2" t="s">
        <v>106</v>
      </c>
      <c r="B24" s="5" t="s">
        <v>107</v>
      </c>
      <c r="C24" s="9" t="n">
        <v>7.9</v>
      </c>
      <c r="D24" s="5" t="s">
        <v>42</v>
      </c>
      <c r="E24" s="5" t="s">
        <v>108</v>
      </c>
      <c r="F24" s="2" t="s">
        <v>109</v>
      </c>
    </row>
    <row r="25" customFormat="false" ht="15" hidden="false" customHeight="false" outlineLevel="0" collapsed="false">
      <c r="A25" s="2" t="s">
        <v>110</v>
      </c>
      <c r="B25" s="5" t="s">
        <v>111</v>
      </c>
      <c r="C25" s="10" t="n">
        <v>0.4</v>
      </c>
      <c r="D25" s="5" t="s">
        <v>47</v>
      </c>
      <c r="E25" s="5" t="s">
        <v>48</v>
      </c>
      <c r="F25" s="2" t="s">
        <v>112</v>
      </c>
    </row>
    <row r="26" customFormat="false" ht="15" hidden="false" customHeight="false" outlineLevel="0" collapsed="false">
      <c r="A26" s="2" t="s">
        <v>113</v>
      </c>
      <c r="B26" s="5" t="s">
        <v>114</v>
      </c>
      <c r="C26" s="9" t="n">
        <v>6.7</v>
      </c>
      <c r="D26" s="5" t="s">
        <v>42</v>
      </c>
      <c r="E26" s="5" t="s">
        <v>115</v>
      </c>
      <c r="F26" s="2" t="s">
        <v>116</v>
      </c>
    </row>
    <row r="27" customFormat="false" ht="15" hidden="false" customHeight="false" outlineLevel="0" collapsed="false">
      <c r="A27" s="2" t="s">
        <v>117</v>
      </c>
      <c r="B27" s="5" t="s">
        <v>118</v>
      </c>
      <c r="C27" s="14" t="n">
        <v>50000</v>
      </c>
      <c r="D27" s="5" t="s">
        <v>119</v>
      </c>
      <c r="E27" s="5" t="s">
        <v>120</v>
      </c>
      <c r="F27" s="2" t="s">
        <v>121</v>
      </c>
    </row>
    <row r="28" customFormat="false" ht="15" hidden="false" customHeight="false" outlineLevel="0" collapsed="false">
      <c r="A28" s="2" t="s">
        <v>122</v>
      </c>
      <c r="B28" s="5" t="s">
        <v>123</v>
      </c>
      <c r="C28" s="14" t="n">
        <v>3</v>
      </c>
      <c r="D28" s="5" t="s">
        <v>100</v>
      </c>
      <c r="E28" s="5" t="s">
        <v>120</v>
      </c>
      <c r="F28" s="2" t="s">
        <v>124</v>
      </c>
    </row>
    <row r="29" customFormat="false" ht="15" hidden="false" customHeight="false" outlineLevel="0" collapsed="false">
      <c r="A29" s="2" t="s">
        <v>125</v>
      </c>
      <c r="B29" s="5" t="s">
        <v>126</v>
      </c>
      <c r="C29" s="9" t="n">
        <v>1.2</v>
      </c>
      <c r="D29" s="5" t="s">
        <v>42</v>
      </c>
      <c r="E29" s="5" t="s">
        <v>60</v>
      </c>
      <c r="F29" s="2" t="s">
        <v>127</v>
      </c>
    </row>
    <row r="30" customFormat="false" ht="15" hidden="false" customHeight="false" outlineLevel="0" collapsed="false">
      <c r="A30" s="2" t="s">
        <v>128</v>
      </c>
      <c r="B30" s="5" t="s">
        <v>129</v>
      </c>
      <c r="C30" s="16" t="n">
        <v>4.5</v>
      </c>
      <c r="D30" s="5" t="s">
        <v>130</v>
      </c>
      <c r="E30" s="5" t="s">
        <v>108</v>
      </c>
      <c r="F30" s="2" t="s">
        <v>131</v>
      </c>
    </row>
    <row r="31" customFormat="false" ht="15" hidden="false" customHeight="false" outlineLevel="0" collapsed="false">
      <c r="A31" s="2" t="s">
        <v>132</v>
      </c>
      <c r="B31" s="5" t="s">
        <v>133</v>
      </c>
      <c r="C31" s="14" t="n">
        <v>4</v>
      </c>
      <c r="D31" s="5" t="s">
        <v>100</v>
      </c>
      <c r="E31" s="5" t="s">
        <v>48</v>
      </c>
      <c r="F31" s="2" t="s">
        <v>134</v>
      </c>
    </row>
    <row r="32" customFormat="false" ht="15" hidden="false" customHeight="false" outlineLevel="0" collapsed="false">
      <c r="A32" s="2" t="s">
        <v>135</v>
      </c>
      <c r="B32" s="5" t="s">
        <v>136</v>
      </c>
      <c r="C32" s="15" t="n">
        <v>1.3</v>
      </c>
      <c r="D32" s="5" t="s">
        <v>137</v>
      </c>
      <c r="E32" s="5" t="s">
        <v>87</v>
      </c>
      <c r="F32" s="2" t="s">
        <v>138</v>
      </c>
    </row>
    <row r="33" customFormat="false" ht="15" hidden="false" customHeight="false" outlineLevel="0" collapsed="false">
      <c r="A33" s="2" t="s">
        <v>139</v>
      </c>
      <c r="B33" s="5" t="s">
        <v>140</v>
      </c>
      <c r="C33" s="14" t="n">
        <v>10</v>
      </c>
      <c r="D33" s="5" t="s">
        <v>92</v>
      </c>
      <c r="E33" s="5" t="s">
        <v>141</v>
      </c>
      <c r="F33" s="2" t="s">
        <v>142</v>
      </c>
    </row>
    <row r="34" customFormat="false" ht="15" hidden="false" customHeight="false" outlineLevel="0" collapsed="false">
      <c r="A34" s="2" t="s">
        <v>143</v>
      </c>
      <c r="B34" s="5" t="s">
        <v>144</v>
      </c>
      <c r="C34" s="14" t="n">
        <v>5</v>
      </c>
      <c r="D34" s="5" t="s">
        <v>100</v>
      </c>
      <c r="E34" s="5"/>
      <c r="F34" s="2" t="s">
        <v>145</v>
      </c>
    </row>
    <row r="35" customFormat="false" ht="15" hidden="false" customHeight="false" outlineLevel="0" collapsed="false">
      <c r="A35" s="2" t="s">
        <v>146</v>
      </c>
      <c r="B35" s="5" t="s">
        <v>147</v>
      </c>
      <c r="C35" s="12" t="n">
        <v>1.41</v>
      </c>
      <c r="D35" s="5" t="s">
        <v>42</v>
      </c>
      <c r="E35" s="5" t="s">
        <v>52</v>
      </c>
      <c r="F35" s="2" t="s">
        <v>148</v>
      </c>
    </row>
    <row r="36" customFormat="false" ht="15" hidden="false" customHeight="false" outlineLevel="0" collapsed="false">
      <c r="A36" s="2" t="s">
        <v>149</v>
      </c>
      <c r="B36" s="5" t="s">
        <v>150</v>
      </c>
      <c r="C36" s="9" t="n">
        <v>1.2</v>
      </c>
      <c r="D36" s="5" t="s">
        <v>42</v>
      </c>
      <c r="E36" s="5" t="s">
        <v>151</v>
      </c>
      <c r="F36" s="2" t="s">
        <v>152</v>
      </c>
    </row>
    <row r="37" customFormat="false" ht="15" hidden="false" customHeight="false" outlineLevel="0" collapsed="false">
      <c r="A37" s="2" t="s">
        <v>153</v>
      </c>
      <c r="B37" s="5" t="s">
        <v>154</v>
      </c>
      <c r="C37" s="16" t="n">
        <v>2</v>
      </c>
      <c r="D37" s="5" t="s">
        <v>155</v>
      </c>
      <c r="E37" s="5" t="s">
        <v>156</v>
      </c>
      <c r="F37" s="2" t="s">
        <v>157</v>
      </c>
    </row>
    <row r="38" customFormat="false" ht="15" hidden="false" customHeight="false" outlineLevel="0" collapsed="false">
      <c r="A38" s="2" t="s">
        <v>158</v>
      </c>
      <c r="B38" s="5" t="s">
        <v>159</v>
      </c>
      <c r="C38" s="15" t="n">
        <v>0.73</v>
      </c>
      <c r="D38" s="5" t="s">
        <v>160</v>
      </c>
      <c r="E38" s="5" t="s">
        <v>87</v>
      </c>
      <c r="F38" s="2" t="s">
        <v>138</v>
      </c>
    </row>
    <row r="39" customFormat="false" ht="15" hidden="false" customHeight="false" outlineLevel="0" collapsed="false">
      <c r="A39" s="2" t="s">
        <v>161</v>
      </c>
      <c r="B39" s="5" t="s">
        <v>162</v>
      </c>
      <c r="C39" s="14" t="n">
        <v>5</v>
      </c>
      <c r="D39" s="5" t="s">
        <v>100</v>
      </c>
      <c r="E39" s="5"/>
      <c r="F39" s="2"/>
    </row>
    <row r="40" customFormat="false" ht="15" hidden="false" customHeight="false" outlineLevel="0" collapsed="false">
      <c r="A40" s="2" t="s">
        <v>163</v>
      </c>
      <c r="B40" s="5" t="s">
        <v>164</v>
      </c>
      <c r="C40" s="17" t="n">
        <v>2</v>
      </c>
      <c r="D40" s="5" t="s">
        <v>165</v>
      </c>
      <c r="E40" s="5" t="s">
        <v>48</v>
      </c>
      <c r="F40" s="2" t="s">
        <v>166</v>
      </c>
    </row>
    <row r="41" customFormat="false" ht="15" hidden="false" customHeight="false" outlineLevel="0" collapsed="false">
      <c r="A41" s="7"/>
      <c r="B41" s="8" t="s">
        <v>167</v>
      </c>
      <c r="C41" s="7"/>
      <c r="D41" s="7"/>
      <c r="E41" s="7"/>
      <c r="F41" s="7"/>
    </row>
    <row r="42" customFormat="false" ht="15" hidden="false" customHeight="false" outlineLevel="0" collapsed="false">
      <c r="A42" s="2" t="s">
        <v>168</v>
      </c>
      <c r="B42" s="5" t="s">
        <v>169</v>
      </c>
      <c r="C42" s="13" t="n">
        <v>38</v>
      </c>
      <c r="D42" s="5" t="s">
        <v>42</v>
      </c>
      <c r="E42" s="5" t="s">
        <v>170</v>
      </c>
      <c r="F42" s="2" t="s">
        <v>171</v>
      </c>
    </row>
    <row r="43" customFormat="false" ht="15" hidden="false" customHeight="false" outlineLevel="0" collapsed="false">
      <c r="A43" s="2" t="s">
        <v>172</v>
      </c>
      <c r="B43" s="5" t="s">
        <v>173</v>
      </c>
      <c r="C43" s="9" t="n">
        <v>0.9</v>
      </c>
      <c r="D43" s="5" t="s">
        <v>174</v>
      </c>
      <c r="E43" s="5" t="s">
        <v>175</v>
      </c>
      <c r="F43" s="2" t="s">
        <v>176</v>
      </c>
    </row>
    <row r="44" customFormat="false" ht="15" hidden="false" customHeight="false" outlineLevel="0" collapsed="false">
      <c r="A44" s="2" t="s">
        <v>177</v>
      </c>
      <c r="B44" s="5" t="s">
        <v>178</v>
      </c>
      <c r="C44" s="9" t="n">
        <v>8.5</v>
      </c>
      <c r="D44" s="5" t="s">
        <v>174</v>
      </c>
      <c r="E44" s="5" t="s">
        <v>175</v>
      </c>
      <c r="F44" s="2" t="s">
        <v>179</v>
      </c>
    </row>
    <row r="45" customFormat="false" ht="15" hidden="false" customHeight="false" outlineLevel="0" collapsed="false">
      <c r="A45" s="2" t="s">
        <v>180</v>
      </c>
      <c r="B45" s="5" t="s">
        <v>181</v>
      </c>
      <c r="C45" s="12" t="n">
        <v>0.59</v>
      </c>
      <c r="D45" s="5" t="s">
        <v>174</v>
      </c>
      <c r="E45" s="5" t="s">
        <v>175</v>
      </c>
      <c r="F45" s="2" t="s">
        <v>182</v>
      </c>
    </row>
    <row r="46" customFormat="false" ht="15" hidden="false" customHeight="false" outlineLevel="0" collapsed="false">
      <c r="A46" s="2" t="s">
        <v>183</v>
      </c>
      <c r="B46" s="5" t="s">
        <v>184</v>
      </c>
      <c r="C46" s="14" t="n">
        <v>4</v>
      </c>
      <c r="D46" s="5" t="s">
        <v>100</v>
      </c>
      <c r="E46" s="5" t="s">
        <v>175</v>
      </c>
      <c r="F46" s="2" t="s">
        <v>185</v>
      </c>
    </row>
    <row r="47" customFormat="false" ht="15" hidden="false" customHeight="false" outlineLevel="0" collapsed="false">
      <c r="A47" s="2" t="s">
        <v>186</v>
      </c>
      <c r="B47" s="5" t="s">
        <v>187</v>
      </c>
      <c r="C47" s="14" t="n">
        <v>10</v>
      </c>
      <c r="D47" s="5" t="s">
        <v>100</v>
      </c>
      <c r="E47" s="5" t="s">
        <v>48</v>
      </c>
      <c r="F47" s="2" t="s">
        <v>188</v>
      </c>
    </row>
    <row r="48" customFormat="false" ht="15" hidden="false" customHeight="false" outlineLevel="0" collapsed="false">
      <c r="A48" s="2" t="s">
        <v>189</v>
      </c>
      <c r="B48" s="5" t="s">
        <v>190</v>
      </c>
      <c r="C48" s="10" t="n">
        <v>0.12</v>
      </c>
      <c r="D48" s="5" t="s">
        <v>47</v>
      </c>
      <c r="E48" s="5" t="s">
        <v>83</v>
      </c>
      <c r="F48" s="2" t="s">
        <v>191</v>
      </c>
    </row>
    <row r="49" customFormat="false" ht="15" hidden="false" customHeight="false" outlineLevel="0" collapsed="false">
      <c r="A49" s="2" t="s">
        <v>192</v>
      </c>
      <c r="B49" s="5" t="s">
        <v>193</v>
      </c>
      <c r="C49" s="14" t="n">
        <v>120</v>
      </c>
      <c r="D49" s="5" t="s">
        <v>194</v>
      </c>
      <c r="E49" s="5" t="s">
        <v>52</v>
      </c>
      <c r="F49" s="2" t="s">
        <v>195</v>
      </c>
    </row>
    <row r="50" customFormat="false" ht="15" hidden="false" customHeight="false" outlineLevel="0" collapsed="false">
      <c r="A50" s="2" t="s">
        <v>196</v>
      </c>
      <c r="B50" s="5" t="s">
        <v>197</v>
      </c>
      <c r="C50" s="14" t="n">
        <v>72</v>
      </c>
      <c r="D50" s="5" t="s">
        <v>119</v>
      </c>
      <c r="E50" s="5"/>
      <c r="F50" s="2"/>
    </row>
    <row r="51" customFormat="false" ht="15" hidden="false" customHeight="false" outlineLevel="0" collapsed="false">
      <c r="A51" s="2" t="s">
        <v>198</v>
      </c>
      <c r="B51" s="5" t="s">
        <v>199</v>
      </c>
      <c r="C51" s="16" t="n">
        <v>137.5</v>
      </c>
      <c r="D51" s="5" t="s">
        <v>194</v>
      </c>
      <c r="E51" s="5" t="s">
        <v>52</v>
      </c>
      <c r="F51" s="2" t="s">
        <v>200</v>
      </c>
    </row>
    <row r="52" customFormat="false" ht="15" hidden="false" customHeight="false" outlineLevel="0" collapsed="false">
      <c r="A52" s="2" t="s">
        <v>201</v>
      </c>
      <c r="B52" s="5" t="s">
        <v>202</v>
      </c>
      <c r="C52" s="10" t="n">
        <v>0.7</v>
      </c>
      <c r="D52" s="5" t="s">
        <v>47</v>
      </c>
      <c r="E52" s="5" t="s">
        <v>56</v>
      </c>
      <c r="F52" s="2" t="s">
        <v>203</v>
      </c>
    </row>
    <row r="53" customFormat="false" ht="15" hidden="false" customHeight="false" outlineLevel="0" collapsed="false">
      <c r="A53" s="2" t="s">
        <v>204</v>
      </c>
      <c r="B53" s="5" t="s">
        <v>205</v>
      </c>
      <c r="C53" s="14" t="n">
        <v>8760</v>
      </c>
      <c r="D53" s="5" t="s">
        <v>204</v>
      </c>
      <c r="E53" s="5"/>
      <c r="F53" s="2"/>
    </row>
    <row r="54" customFormat="false" ht="15" hidden="false" customHeight="false" outlineLevel="0" collapsed="false">
      <c r="A54" s="2" t="s">
        <v>206</v>
      </c>
      <c r="B54" s="5" t="s">
        <v>207</v>
      </c>
      <c r="C54" s="18" t="n">
        <v>0.0977</v>
      </c>
      <c r="D54" s="5" t="s">
        <v>208</v>
      </c>
      <c r="E54" s="5" t="s">
        <v>115</v>
      </c>
      <c r="F54" s="2" t="s">
        <v>209</v>
      </c>
    </row>
    <row r="55" customFormat="false" ht="15" hidden="false" customHeight="false" outlineLevel="0" collapsed="false">
      <c r="A55" s="2" t="s">
        <v>210</v>
      </c>
      <c r="B55" s="5" t="s">
        <v>211</v>
      </c>
      <c r="C55" s="11" t="n">
        <v>0.055</v>
      </c>
      <c r="D55" s="5" t="s">
        <v>47</v>
      </c>
      <c r="E55" s="5" t="s">
        <v>56</v>
      </c>
      <c r="F55" s="2" t="s">
        <v>212</v>
      </c>
    </row>
    <row r="56" customFormat="false" ht="15" hidden="false" customHeight="false" outlineLevel="0" collapsed="false">
      <c r="A56" s="2" t="s">
        <v>213</v>
      </c>
      <c r="B56" s="5" t="s">
        <v>214</v>
      </c>
      <c r="C56" s="13" t="n">
        <v>500</v>
      </c>
      <c r="D56" s="5" t="s">
        <v>215</v>
      </c>
      <c r="E56" s="5" t="s">
        <v>56</v>
      </c>
      <c r="F56" s="2" t="s">
        <v>216</v>
      </c>
    </row>
    <row r="57" customFormat="false" ht="15" hidden="false" customHeight="false" outlineLevel="0" collapsed="false">
      <c r="A57" s="2" t="s">
        <v>217</v>
      </c>
      <c r="B57" s="5" t="s">
        <v>218</v>
      </c>
      <c r="C57" s="12" t="n">
        <v>10.5</v>
      </c>
      <c r="D57" s="5" t="s">
        <v>219</v>
      </c>
      <c r="E57" s="5" t="s">
        <v>108</v>
      </c>
      <c r="F57" s="2" t="s">
        <v>220</v>
      </c>
    </row>
    <row r="58" customFormat="false" ht="15" hidden="false" customHeight="false" outlineLevel="0" collapsed="false">
      <c r="A58" s="7"/>
      <c r="B58" s="8" t="s">
        <v>221</v>
      </c>
      <c r="C58" s="7"/>
      <c r="D58" s="7"/>
      <c r="E58" s="7"/>
      <c r="F58" s="7"/>
    </row>
    <row r="59" customFormat="false" ht="15" hidden="false" customHeight="false" outlineLevel="0" collapsed="false">
      <c r="A59" s="2" t="s">
        <v>222</v>
      </c>
      <c r="B59" s="5" t="s">
        <v>223</v>
      </c>
      <c r="C59" s="11" t="n">
        <v>0.035</v>
      </c>
      <c r="D59" s="5" t="s">
        <v>47</v>
      </c>
      <c r="E59" s="5" t="s">
        <v>56</v>
      </c>
      <c r="F59" s="2" t="s">
        <v>224</v>
      </c>
    </row>
    <row r="60" customFormat="false" ht="15" hidden="false" customHeight="false" outlineLevel="0" collapsed="false">
      <c r="A60" s="2" t="s">
        <v>225</v>
      </c>
      <c r="B60" s="5" t="s">
        <v>226</v>
      </c>
      <c r="C60" s="11" t="n">
        <v>0</v>
      </c>
      <c r="D60" s="5" t="s">
        <v>47</v>
      </c>
      <c r="E60" s="5" t="s">
        <v>56</v>
      </c>
      <c r="F60" s="2" t="s">
        <v>224</v>
      </c>
    </row>
    <row r="61" customFormat="false" ht="15" hidden="false" customHeight="false" outlineLevel="0" collapsed="false">
      <c r="A61" s="2" t="s">
        <v>227</v>
      </c>
      <c r="B61" s="5" t="s">
        <v>228</v>
      </c>
      <c r="C61" s="11" t="n">
        <v>-0.01</v>
      </c>
      <c r="D61" s="5" t="s">
        <v>47</v>
      </c>
      <c r="E61" s="5" t="s">
        <v>56</v>
      </c>
      <c r="F61" s="2" t="s">
        <v>224</v>
      </c>
    </row>
    <row r="62" customFormat="false" ht="15" hidden="false" customHeight="false" outlineLevel="0" collapsed="false">
      <c r="A62" s="2" t="s">
        <v>229</v>
      </c>
      <c r="B62" s="5" t="s">
        <v>230</v>
      </c>
      <c r="C62" s="11" t="n">
        <v>-0.036</v>
      </c>
      <c r="D62" s="5" t="s">
        <v>47</v>
      </c>
      <c r="E62" s="5" t="s">
        <v>56</v>
      </c>
      <c r="F62" s="2" t="s">
        <v>224</v>
      </c>
    </row>
    <row r="63" customFormat="false" ht="15" hidden="false" customHeight="false" outlineLevel="0" collapsed="false">
      <c r="A63" s="2" t="s">
        <v>231</v>
      </c>
      <c r="B63" s="5" t="s">
        <v>232</v>
      </c>
      <c r="C63" s="11" t="n">
        <v>-0.048</v>
      </c>
      <c r="D63" s="5" t="s">
        <v>47</v>
      </c>
      <c r="E63" s="5" t="s">
        <v>56</v>
      </c>
      <c r="F63" s="2" t="s">
        <v>224</v>
      </c>
    </row>
    <row r="64" customFormat="false" ht="15" hidden="false" customHeight="false" outlineLevel="0" collapsed="false">
      <c r="A64" s="2" t="s">
        <v>233</v>
      </c>
      <c r="B64" s="5" t="s">
        <v>234</v>
      </c>
      <c r="C64" s="11" t="n">
        <v>-0.077</v>
      </c>
      <c r="D64" s="5" t="s">
        <v>47</v>
      </c>
      <c r="E64" s="5" t="s">
        <v>56</v>
      </c>
      <c r="F64" s="2" t="s">
        <v>224</v>
      </c>
    </row>
    <row r="65" customFormat="false" ht="15" hidden="false" customHeight="false" outlineLevel="0" collapsed="false">
      <c r="A65" s="2" t="s">
        <v>235</v>
      </c>
      <c r="B65" s="5" t="s">
        <v>236</v>
      </c>
      <c r="C65" s="11" t="n">
        <v>-0.125</v>
      </c>
      <c r="D65" s="5" t="s">
        <v>47</v>
      </c>
      <c r="E65" s="5" t="s">
        <v>56</v>
      </c>
      <c r="F65" s="2" t="s">
        <v>224</v>
      </c>
    </row>
    <row r="66" customFormat="false" ht="15" hidden="false" customHeight="false" outlineLevel="0" collapsed="false">
      <c r="A66" s="2" t="s">
        <v>237</v>
      </c>
      <c r="B66" s="5" t="s">
        <v>238</v>
      </c>
      <c r="C66" s="11" t="n">
        <v>-0.164</v>
      </c>
      <c r="D66" s="5" t="s">
        <v>47</v>
      </c>
      <c r="E66" s="5" t="s">
        <v>56</v>
      </c>
      <c r="F66" s="2" t="s">
        <v>224</v>
      </c>
    </row>
    <row r="67" customFormat="false" ht="15" hidden="false" customHeight="false" outlineLevel="0" collapsed="false">
      <c r="A67" s="2" t="s">
        <v>239</v>
      </c>
      <c r="B67" s="5" t="s">
        <v>240</v>
      </c>
      <c r="C67" s="11" t="n">
        <v>-0.187</v>
      </c>
      <c r="D67" s="5" t="s">
        <v>47</v>
      </c>
      <c r="E67" s="5" t="s">
        <v>56</v>
      </c>
      <c r="F67" s="2" t="s">
        <v>224</v>
      </c>
    </row>
    <row r="68" customFormat="false" ht="15" hidden="false" customHeight="false" outlineLevel="0" collapsed="false">
      <c r="A68" s="2" t="s">
        <v>241</v>
      </c>
      <c r="B68" s="5" t="s">
        <v>242</v>
      </c>
      <c r="C68" s="11" t="n">
        <v>-0.194</v>
      </c>
      <c r="D68" s="5" t="s">
        <v>47</v>
      </c>
      <c r="E68" s="5" t="s">
        <v>56</v>
      </c>
      <c r="F68" s="2" t="s">
        <v>224</v>
      </c>
    </row>
    <row r="69" customFormat="false" ht="15" hidden="false" customHeight="false" outlineLevel="0" collapsed="false">
      <c r="A69" s="2" t="s">
        <v>243</v>
      </c>
      <c r="B69" s="5" t="s">
        <v>244</v>
      </c>
      <c r="C69" s="19" t="n">
        <v>0.05</v>
      </c>
      <c r="D69" s="5" t="s">
        <v>208</v>
      </c>
      <c r="E69" s="5" t="s">
        <v>48</v>
      </c>
      <c r="F69" s="2" t="s">
        <v>245</v>
      </c>
    </row>
    <row r="70" customFormat="false" ht="15" hidden="false" customHeight="false" outlineLevel="0" collapsed="false">
      <c r="A70" s="2" t="s">
        <v>246</v>
      </c>
      <c r="B70" s="5" t="s">
        <v>247</v>
      </c>
      <c r="C70" s="20" t="n">
        <v>0.13</v>
      </c>
      <c r="D70" s="5" t="s">
        <v>208</v>
      </c>
      <c r="E70" s="5" t="s">
        <v>48</v>
      </c>
      <c r="F70" s="2" t="s">
        <v>248</v>
      </c>
    </row>
    <row r="71" customFormat="false" ht="15" hidden="false" customHeight="false" outlineLevel="0" collapsed="false">
      <c r="A71" s="2" t="s">
        <v>249</v>
      </c>
      <c r="B71" s="5" t="s">
        <v>250</v>
      </c>
      <c r="C71" s="20" t="n">
        <v>0.18</v>
      </c>
      <c r="D71" s="5" t="s">
        <v>208</v>
      </c>
      <c r="E71" s="5" t="s">
        <v>48</v>
      </c>
      <c r="F71" s="2" t="s">
        <v>251</v>
      </c>
    </row>
    <row r="72" customFormat="false" ht="15" hidden="false" customHeight="false" outlineLevel="0" collapsed="false">
      <c r="A72" s="2" t="s">
        <v>252</v>
      </c>
      <c r="B72" s="5" t="s">
        <v>253</v>
      </c>
      <c r="C72" s="20" t="n">
        <v>0.09</v>
      </c>
      <c r="D72" s="5" t="s">
        <v>208</v>
      </c>
      <c r="E72" s="5" t="s">
        <v>48</v>
      </c>
      <c r="F72" s="2" t="s">
        <v>254</v>
      </c>
    </row>
    <row r="73" customFormat="false" ht="15" hidden="false" customHeight="false" outlineLevel="0" collapsed="false">
      <c r="A73" s="2" t="s">
        <v>255</v>
      </c>
      <c r="B73" s="5" t="s">
        <v>256</v>
      </c>
      <c r="C73" s="20" t="n">
        <v>0.12</v>
      </c>
      <c r="D73" s="5" t="s">
        <v>208</v>
      </c>
      <c r="E73" s="5" t="s">
        <v>48</v>
      </c>
      <c r="F73" s="2" t="s">
        <v>257</v>
      </c>
    </row>
    <row r="74" customFormat="false" ht="15" hidden="false" customHeight="false" outlineLevel="0" collapsed="false">
      <c r="A74" s="2" t="s">
        <v>258</v>
      </c>
      <c r="B74" s="5" t="s">
        <v>259</v>
      </c>
      <c r="C74" s="15" t="n">
        <v>1.25</v>
      </c>
      <c r="D74" s="5" t="s">
        <v>260</v>
      </c>
      <c r="E74" s="5" t="s">
        <v>48</v>
      </c>
      <c r="F74" s="2" t="s">
        <v>261</v>
      </c>
    </row>
    <row r="75" customFormat="false" ht="15" hidden="false" customHeight="false" outlineLevel="0" collapsed="false">
      <c r="A75" s="2" t="s">
        <v>262</v>
      </c>
      <c r="B75" s="5" t="s">
        <v>263</v>
      </c>
      <c r="C75" s="15" t="n">
        <v>1.2</v>
      </c>
      <c r="D75" s="5" t="s">
        <v>260</v>
      </c>
      <c r="E75" s="5" t="s">
        <v>48</v>
      </c>
      <c r="F75" s="2" t="s">
        <v>264</v>
      </c>
    </row>
    <row r="76" customFormat="false" ht="15" hidden="false" customHeight="false" outlineLevel="0" collapsed="false">
      <c r="A76" s="2" t="s">
        <v>265</v>
      </c>
      <c r="B76" s="5" t="s">
        <v>266</v>
      </c>
      <c r="C76" s="21" t="n">
        <v>1.5</v>
      </c>
      <c r="D76" s="5" t="s">
        <v>100</v>
      </c>
      <c r="E76" s="5" t="s">
        <v>56</v>
      </c>
      <c r="F76" s="2" t="s">
        <v>267</v>
      </c>
    </row>
    <row r="77" customFormat="false" ht="15" hidden="false" customHeight="false" outlineLevel="0" collapsed="false">
      <c r="A77" s="2" t="s">
        <v>268</v>
      </c>
      <c r="B77" s="5" t="s">
        <v>269</v>
      </c>
      <c r="C77" s="10" t="n">
        <v>0.025</v>
      </c>
      <c r="D77" s="5" t="s">
        <v>270</v>
      </c>
      <c r="E77" s="5" t="s">
        <v>271</v>
      </c>
      <c r="F77" s="2" t="s">
        <v>272</v>
      </c>
    </row>
    <row r="78" customFormat="false" ht="15" hidden="false" customHeight="false" outlineLevel="0" collapsed="false">
      <c r="A78" s="7"/>
      <c r="B78" s="8" t="s">
        <v>273</v>
      </c>
      <c r="C78" s="7"/>
      <c r="D78" s="7"/>
      <c r="E78" s="7"/>
      <c r="F78" s="7"/>
    </row>
    <row r="79" customFormat="false" ht="15" hidden="false" customHeight="false" outlineLevel="0" collapsed="false">
      <c r="A79" s="2" t="s">
        <v>274</v>
      </c>
      <c r="B79" s="5" t="s">
        <v>275</v>
      </c>
      <c r="C79" s="12" t="n">
        <v>7.36</v>
      </c>
      <c r="D79" s="5" t="s">
        <v>219</v>
      </c>
      <c r="E79" s="5" t="s">
        <v>276</v>
      </c>
      <c r="F79" s="2" t="s">
        <v>277</v>
      </c>
    </row>
    <row r="80" customFormat="false" ht="15" hidden="false" customHeight="false" outlineLevel="0" collapsed="false">
      <c r="A80" s="2" t="s">
        <v>278</v>
      </c>
      <c r="B80" s="5" t="s">
        <v>279</v>
      </c>
      <c r="C80" s="12" t="n">
        <v>15.98</v>
      </c>
      <c r="D80" s="5" t="s">
        <v>219</v>
      </c>
      <c r="E80" s="5" t="s">
        <v>276</v>
      </c>
      <c r="F80" s="2" t="s">
        <v>280</v>
      </c>
    </row>
    <row r="81" customFormat="false" ht="15" hidden="false" customHeight="false" outlineLevel="0" collapsed="false">
      <c r="A81" s="2" t="s">
        <v>281</v>
      </c>
      <c r="B81" s="5" t="s">
        <v>282</v>
      </c>
      <c r="C81" s="12" t="n">
        <v>3.1</v>
      </c>
      <c r="D81" s="5" t="s">
        <v>219</v>
      </c>
      <c r="E81" s="5" t="s">
        <v>276</v>
      </c>
      <c r="F81" s="2" t="s">
        <v>283</v>
      </c>
    </row>
    <row r="82" customFormat="false" ht="15" hidden="false" customHeight="false" outlineLevel="0" collapsed="false">
      <c r="A82" s="2" t="s">
        <v>284</v>
      </c>
      <c r="B82" s="5" t="s">
        <v>285</v>
      </c>
      <c r="C82" s="12" t="n">
        <v>2.99</v>
      </c>
      <c r="D82" s="5" t="s">
        <v>219</v>
      </c>
      <c r="E82" s="5" t="s">
        <v>276</v>
      </c>
      <c r="F82" s="2" t="s">
        <v>286</v>
      </c>
    </row>
    <row r="83" customFormat="false" ht="15" hidden="false" customHeight="false" outlineLevel="0" collapsed="false">
      <c r="A83" s="2" t="s">
        <v>287</v>
      </c>
      <c r="B83" s="5" t="s">
        <v>288</v>
      </c>
      <c r="C83" s="12" t="n">
        <v>6.11</v>
      </c>
      <c r="D83" s="5" t="s">
        <v>219</v>
      </c>
      <c r="E83" s="5" t="s">
        <v>276</v>
      </c>
      <c r="F83" s="2" t="s">
        <v>280</v>
      </c>
    </row>
    <row r="84" customFormat="false" ht="15" hidden="false" customHeight="false" outlineLevel="0" collapsed="false">
      <c r="A84" s="2" t="s">
        <v>289</v>
      </c>
      <c r="B84" s="5" t="s">
        <v>290</v>
      </c>
      <c r="C84" s="12" t="n">
        <v>8.5</v>
      </c>
      <c r="D84" s="5" t="s">
        <v>219</v>
      </c>
      <c r="E84" s="5" t="s">
        <v>276</v>
      </c>
      <c r="F84" s="2" t="s">
        <v>291</v>
      </c>
    </row>
    <row r="85" customFormat="false" ht="15" hidden="false" customHeight="false" outlineLevel="0" collapsed="false">
      <c r="A85" s="2" t="s">
        <v>292</v>
      </c>
      <c r="B85" s="5" t="s">
        <v>293</v>
      </c>
      <c r="C85" s="12" t="n">
        <v>4.5</v>
      </c>
      <c r="D85" s="5" t="s">
        <v>219</v>
      </c>
      <c r="E85" s="5" t="s">
        <v>276</v>
      </c>
      <c r="F85" s="2" t="s">
        <v>294</v>
      </c>
    </row>
    <row r="86" customFormat="false" ht="15" hidden="false" customHeight="false" outlineLevel="0" collapsed="false">
      <c r="A86" s="2" t="s">
        <v>295</v>
      </c>
      <c r="B86" s="5" t="s">
        <v>296</v>
      </c>
      <c r="C86" s="12" t="n">
        <v>6.16</v>
      </c>
      <c r="D86" s="5" t="s">
        <v>219</v>
      </c>
      <c r="E86" s="5" t="s">
        <v>276</v>
      </c>
      <c r="F86" s="2" t="s">
        <v>280</v>
      </c>
    </row>
    <row r="87" customFormat="false" ht="15" hidden="false" customHeight="false" outlineLevel="0" collapsed="false">
      <c r="A87" s="2" t="s">
        <v>297</v>
      </c>
      <c r="B87" s="5" t="s">
        <v>298</v>
      </c>
      <c r="C87" s="12" t="n">
        <v>6.07</v>
      </c>
      <c r="D87" s="5" t="s">
        <v>219</v>
      </c>
      <c r="E87" s="5" t="s">
        <v>276</v>
      </c>
      <c r="F87" s="2" t="s">
        <v>299</v>
      </c>
    </row>
    <row r="88" customFormat="false" ht="15" hidden="false" customHeight="false" outlineLevel="0" collapsed="false">
      <c r="A88" s="2" t="s">
        <v>300</v>
      </c>
      <c r="B88" s="5" t="s">
        <v>301</v>
      </c>
      <c r="C88" s="12" t="n">
        <v>12.3</v>
      </c>
      <c r="D88" s="5" t="s">
        <v>219</v>
      </c>
      <c r="E88" s="5" t="s">
        <v>276</v>
      </c>
      <c r="F88" s="2" t="s">
        <v>302</v>
      </c>
    </row>
    <row r="89" customFormat="false" ht="15" hidden="false" customHeight="false" outlineLevel="0" collapsed="false">
      <c r="A89" s="2" t="s">
        <v>303</v>
      </c>
      <c r="B89" s="5" t="s">
        <v>304</v>
      </c>
      <c r="C89" s="12" t="n">
        <v>1.7</v>
      </c>
      <c r="D89" s="5" t="s">
        <v>219</v>
      </c>
      <c r="E89" s="5" t="s">
        <v>276</v>
      </c>
      <c r="F89" s="2" t="s">
        <v>305</v>
      </c>
    </row>
    <row r="90" customFormat="false" ht="15" hidden="false" customHeight="false" outlineLevel="0" collapsed="false">
      <c r="A90" s="2" t="s">
        <v>306</v>
      </c>
      <c r="B90" s="5" t="s">
        <v>307</v>
      </c>
      <c r="C90" s="12" t="n">
        <v>3.4</v>
      </c>
      <c r="D90" s="5" t="s">
        <v>219</v>
      </c>
      <c r="E90" s="5" t="s">
        <v>276</v>
      </c>
      <c r="F90" s="2" t="s">
        <v>308</v>
      </c>
    </row>
    <row r="91" customFormat="false" ht="15" hidden="false" customHeight="false" outlineLevel="0" collapsed="false">
      <c r="A91" s="2" t="s">
        <v>309</v>
      </c>
      <c r="B91" s="5" t="s">
        <v>310</v>
      </c>
      <c r="C91" s="12" t="n">
        <v>2.7</v>
      </c>
      <c r="D91" s="5" t="s">
        <v>219</v>
      </c>
      <c r="E91" s="5" t="s">
        <v>276</v>
      </c>
      <c r="F91" s="2" t="s">
        <v>311</v>
      </c>
    </row>
    <row r="92" customFormat="false" ht="15" hidden="false" customHeight="false" outlineLevel="0" collapsed="false">
      <c r="A92" s="2" t="s">
        <v>312</v>
      </c>
      <c r="B92" s="5" t="s">
        <v>313</v>
      </c>
      <c r="C92" s="11" t="n">
        <v>0.75</v>
      </c>
      <c r="D92" s="5" t="s">
        <v>47</v>
      </c>
      <c r="E92" s="5" t="s">
        <v>314</v>
      </c>
      <c r="F92" s="2" t="s">
        <v>315</v>
      </c>
    </row>
    <row r="93" customFormat="false" ht="15" hidden="false" customHeight="false" outlineLevel="0" collapsed="false">
      <c r="A93" s="2" t="s">
        <v>316</v>
      </c>
      <c r="B93" s="5" t="s">
        <v>317</v>
      </c>
      <c r="C93" s="13" t="n">
        <v>28571</v>
      </c>
      <c r="D93" s="5" t="s">
        <v>318</v>
      </c>
      <c r="E93" s="5" t="s">
        <v>319</v>
      </c>
      <c r="F93" s="2" t="s">
        <v>320</v>
      </c>
    </row>
    <row r="94" customFormat="false" ht="15" hidden="false" customHeight="false" outlineLevel="0" collapsed="false">
      <c r="A94" s="7"/>
      <c r="B94" s="8" t="s">
        <v>321</v>
      </c>
      <c r="C94" s="7"/>
      <c r="D94" s="7"/>
      <c r="E94" s="7"/>
      <c r="F94" s="7"/>
    </row>
    <row r="95" customFormat="false" ht="15" hidden="false" customHeight="false" outlineLevel="0" collapsed="false">
      <c r="A95" s="2" t="s">
        <v>322</v>
      </c>
      <c r="B95" s="5" t="s">
        <v>323</v>
      </c>
      <c r="C95" s="9" t="n">
        <v>15.7</v>
      </c>
      <c r="D95" s="5" t="s">
        <v>324</v>
      </c>
      <c r="E95" s="5" t="s">
        <v>325</v>
      </c>
      <c r="F95" s="2" t="s">
        <v>326</v>
      </c>
    </row>
    <row r="96" customFormat="false" ht="15" hidden="false" customHeight="false" outlineLevel="0" collapsed="false">
      <c r="A96" s="2" t="s">
        <v>327</v>
      </c>
      <c r="B96" s="5" t="s">
        <v>328</v>
      </c>
      <c r="C96" s="11" t="n">
        <v>0.14</v>
      </c>
      <c r="D96" s="5" t="s">
        <v>47</v>
      </c>
      <c r="E96" s="5" t="s">
        <v>325</v>
      </c>
      <c r="F96" s="2" t="s">
        <v>294</v>
      </c>
    </row>
    <row r="97" customFormat="false" ht="15" hidden="false" customHeight="false" outlineLevel="0" collapsed="false">
      <c r="A97" s="2" t="s">
        <v>329</v>
      </c>
      <c r="B97" s="5" t="s">
        <v>330</v>
      </c>
      <c r="C97" s="9" t="n">
        <v>19.9</v>
      </c>
      <c r="D97" s="5" t="s">
        <v>324</v>
      </c>
      <c r="E97" s="5" t="s">
        <v>331</v>
      </c>
      <c r="F97" s="2" t="s">
        <v>332</v>
      </c>
    </row>
    <row r="98" customFormat="false" ht="15" hidden="false" customHeight="false" outlineLevel="0" collapsed="false">
      <c r="A98" s="2" t="s">
        <v>333</v>
      </c>
      <c r="B98" s="5" t="s">
        <v>334</v>
      </c>
      <c r="C98" s="13" t="n">
        <v>41</v>
      </c>
      <c r="D98" s="5" t="s">
        <v>42</v>
      </c>
      <c r="E98" s="5" t="s">
        <v>335</v>
      </c>
      <c r="F98" s="2" t="s">
        <v>336</v>
      </c>
    </row>
    <row r="99" customFormat="false" ht="15" hidden="false" customHeight="false" outlineLevel="0" collapsed="false">
      <c r="A99" s="2" t="s">
        <v>337</v>
      </c>
      <c r="B99" s="5" t="s">
        <v>338</v>
      </c>
      <c r="C99" s="13" t="n">
        <v>1</v>
      </c>
      <c r="D99" s="5" t="s">
        <v>42</v>
      </c>
      <c r="E99" s="5" t="s">
        <v>335</v>
      </c>
      <c r="F99" s="2" t="s">
        <v>294</v>
      </c>
    </row>
    <row r="100" customFormat="false" ht="15" hidden="false" customHeight="false" outlineLevel="0" collapsed="false">
      <c r="A100" s="2" t="s">
        <v>339</v>
      </c>
      <c r="B100" s="5" t="s">
        <v>340</v>
      </c>
      <c r="C100" s="12" t="n">
        <v>1.7</v>
      </c>
      <c r="D100" s="5" t="s">
        <v>341</v>
      </c>
      <c r="E100" s="5" t="s">
        <v>342</v>
      </c>
      <c r="F100" s="2" t="s">
        <v>343</v>
      </c>
    </row>
    <row r="101" customFormat="false" ht="15" hidden="false" customHeight="false" outlineLevel="0" collapsed="false">
      <c r="A101" s="2" t="s">
        <v>344</v>
      </c>
      <c r="B101" s="5" t="s">
        <v>345</v>
      </c>
      <c r="C101" s="9" t="n">
        <v>8.5</v>
      </c>
      <c r="D101" s="5" t="s">
        <v>324</v>
      </c>
      <c r="E101" s="5" t="s">
        <v>83</v>
      </c>
      <c r="F101" s="2" t="s">
        <v>346</v>
      </c>
    </row>
    <row r="102" customFormat="false" ht="15" hidden="false" customHeight="false" outlineLevel="0" collapsed="false">
      <c r="A102" s="2" t="s">
        <v>347</v>
      </c>
      <c r="B102" s="5" t="s">
        <v>348</v>
      </c>
      <c r="C102" s="9" t="n">
        <v>3.6</v>
      </c>
      <c r="D102" s="5" t="s">
        <v>324</v>
      </c>
      <c r="E102" s="5" t="s">
        <v>83</v>
      </c>
      <c r="F102" s="2" t="s">
        <v>349</v>
      </c>
    </row>
    <row r="103" customFormat="false" ht="15" hidden="false" customHeight="false" outlineLevel="0" collapsed="false">
      <c r="A103" s="2" t="s">
        <v>350</v>
      </c>
      <c r="B103" s="5" t="s">
        <v>351</v>
      </c>
      <c r="C103" s="9" t="n">
        <v>3.5</v>
      </c>
      <c r="D103" s="5" t="s">
        <v>324</v>
      </c>
      <c r="E103" s="5" t="s">
        <v>83</v>
      </c>
      <c r="F103" s="2" t="s">
        <v>352</v>
      </c>
    </row>
    <row r="104" customFormat="false" ht="15" hidden="false" customHeight="false" outlineLevel="0" collapsed="false">
      <c r="A104" s="2" t="s">
        <v>353</v>
      </c>
      <c r="B104" s="5" t="s">
        <v>354</v>
      </c>
      <c r="C104" s="9" t="n">
        <v>1.1</v>
      </c>
      <c r="D104" s="5" t="s">
        <v>324</v>
      </c>
      <c r="E104" s="5" t="s">
        <v>151</v>
      </c>
      <c r="F104" s="2" t="s">
        <v>355</v>
      </c>
    </row>
    <row r="105" customFormat="false" ht="15" hidden="false" customHeight="false" outlineLevel="0" collapsed="false">
      <c r="A105" s="2" t="s">
        <v>356</v>
      </c>
      <c r="B105" s="5" t="s">
        <v>357</v>
      </c>
      <c r="C105" s="9" t="n">
        <v>1.8</v>
      </c>
      <c r="D105" s="5" t="s">
        <v>324</v>
      </c>
      <c r="E105" s="5" t="s">
        <v>151</v>
      </c>
      <c r="F105" s="2" t="s">
        <v>138</v>
      </c>
    </row>
    <row r="106" customFormat="false" ht="15" hidden="false" customHeight="false" outlineLevel="0" collapsed="false">
      <c r="A106" s="2" t="s">
        <v>358</v>
      </c>
      <c r="B106" s="5" t="s">
        <v>359</v>
      </c>
      <c r="C106" s="9" t="n">
        <v>19</v>
      </c>
      <c r="D106" s="5" t="s">
        <v>324</v>
      </c>
      <c r="E106" s="5" t="s">
        <v>151</v>
      </c>
      <c r="F106" s="2" t="s">
        <v>138</v>
      </c>
    </row>
    <row r="107" customFormat="false" ht="15" hidden="false" customHeight="false" outlineLevel="0" collapsed="false">
      <c r="A107" s="2" t="s">
        <v>360</v>
      </c>
      <c r="B107" s="5" t="s">
        <v>361</v>
      </c>
      <c r="C107" s="9" t="n">
        <v>4</v>
      </c>
      <c r="D107" s="5" t="s">
        <v>324</v>
      </c>
      <c r="E107" s="5" t="s">
        <v>151</v>
      </c>
      <c r="F107" s="2" t="s">
        <v>138</v>
      </c>
    </row>
    <row r="108" customFormat="false" ht="15" hidden="false" customHeight="false" outlineLevel="0" collapsed="false">
      <c r="A108" s="2" t="s">
        <v>362</v>
      </c>
      <c r="B108" s="5" t="s">
        <v>363</v>
      </c>
      <c r="C108" s="12" t="n">
        <v>0.53</v>
      </c>
      <c r="D108" s="5" t="s">
        <v>324</v>
      </c>
      <c r="E108" s="5" t="s">
        <v>151</v>
      </c>
      <c r="F108" s="2" t="s">
        <v>138</v>
      </c>
    </row>
    <row r="109" customFormat="false" ht="15" hidden="false" customHeight="false" outlineLevel="0" collapsed="false">
      <c r="A109" s="2" t="s">
        <v>364</v>
      </c>
      <c r="B109" s="5" t="s">
        <v>365</v>
      </c>
      <c r="C109" s="10" t="n">
        <v>0.25</v>
      </c>
      <c r="D109" s="5" t="s">
        <v>47</v>
      </c>
      <c r="E109" s="5" t="s">
        <v>48</v>
      </c>
      <c r="F109" s="2" t="s">
        <v>366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8"/>
    <col collapsed="false" customWidth="true" hidden="false" outlineLevel="0" max="2" min="2" style="0" width="18"/>
    <col collapsed="false" customWidth="true" hidden="false" outlineLevel="0" max="3" min="3" style="0" width="14"/>
    <col collapsed="false" customWidth="true" hidden="false" outlineLevel="0" max="4" min="4" style="0" width="12"/>
    <col collapsed="false" customWidth="true" hidden="false" outlineLevel="0" max="5" min="5" style="0" width="10"/>
    <col collapsed="false" customWidth="true" hidden="false" outlineLevel="0" max="7" min="6" style="0" width="14"/>
    <col collapsed="false" customWidth="true" hidden="false" outlineLevel="0" max="11" min="8" style="0" width="16"/>
    <col collapsed="false" customWidth="true" hidden="false" outlineLevel="0" max="12" min="12" style="0" width="70"/>
  </cols>
  <sheetData>
    <row r="1" customFormat="false" ht="17.35" hidden="false" customHeight="false" outlineLevel="0" collapsed="false">
      <c r="A1" s="1" t="s">
        <v>367</v>
      </c>
    </row>
    <row r="2" customFormat="false" ht="15" hidden="false" customHeight="false" outlineLevel="0" collapsed="false">
      <c r="A2" s="2" t="s">
        <v>368</v>
      </c>
    </row>
    <row r="4" customFormat="false" ht="48" hidden="false" customHeight="true" outlineLevel="0" collapsed="false">
      <c r="A4" s="6" t="s">
        <v>369</v>
      </c>
      <c r="B4" s="6" t="s">
        <v>370</v>
      </c>
      <c r="C4" s="6" t="s">
        <v>371</v>
      </c>
      <c r="D4" s="6" t="s">
        <v>372</v>
      </c>
      <c r="E4" s="6" t="s">
        <v>373</v>
      </c>
      <c r="F4" s="6" t="s">
        <v>374</v>
      </c>
      <c r="G4" s="6" t="s">
        <v>375</v>
      </c>
      <c r="H4" s="6" t="s">
        <v>376</v>
      </c>
      <c r="I4" s="6" t="s">
        <v>377</v>
      </c>
      <c r="J4" s="6" t="s">
        <v>378</v>
      </c>
      <c r="K4" s="6" t="s">
        <v>379</v>
      </c>
      <c r="L4" s="6" t="s">
        <v>380</v>
      </c>
    </row>
    <row r="5" customFormat="false" ht="15" hidden="false" customHeight="false" outlineLevel="0" collapsed="false">
      <c r="A5" s="5" t="s">
        <v>381</v>
      </c>
      <c r="B5" s="5" t="s">
        <v>382</v>
      </c>
      <c r="C5" s="5" t="s">
        <v>383</v>
      </c>
      <c r="D5" s="14" t="n">
        <v>1900</v>
      </c>
      <c r="E5" s="22" t="n">
        <v>2030</v>
      </c>
      <c r="F5" s="23" t="n">
        <v>150</v>
      </c>
      <c r="G5" s="14" t="n">
        <v>600000</v>
      </c>
      <c r="H5" s="24" t="n">
        <f aca="false">F5*1000/Assumptions!$C$49*Assumptions!$C$50</f>
        <v>90000</v>
      </c>
      <c r="I5" s="25" t="n">
        <f aca="false">F5*Assumptions!$C$42</f>
        <v>5700</v>
      </c>
      <c r="J5" s="25" t="n">
        <f aca="false">I5*Assumptions!$C$9</f>
        <v>3648</v>
      </c>
      <c r="K5" s="26" t="n">
        <f aca="false">D5*Assumptions!$C$42/1000</f>
        <v>72.2</v>
      </c>
      <c r="L5" s="2" t="s">
        <v>384</v>
      </c>
    </row>
    <row r="6" customFormat="false" ht="15" hidden="false" customHeight="false" outlineLevel="0" collapsed="false">
      <c r="A6" s="5" t="s">
        <v>385</v>
      </c>
      <c r="B6" s="5" t="s">
        <v>382</v>
      </c>
      <c r="C6" s="5" t="s">
        <v>386</v>
      </c>
      <c r="D6" s="14" t="n">
        <v>1000</v>
      </c>
      <c r="E6" s="22" t="n">
        <v>2029</v>
      </c>
      <c r="F6" s="23" t="n">
        <v>200</v>
      </c>
      <c r="G6" s="14" t="n">
        <v>0</v>
      </c>
      <c r="H6" s="24" t="n">
        <f aca="false">F6*1000/Assumptions!$C$49*Assumptions!$C$50</f>
        <v>120000</v>
      </c>
      <c r="I6" s="25" t="n">
        <f aca="false">F6*Assumptions!$C$42</f>
        <v>7600</v>
      </c>
      <c r="J6" s="25" t="n">
        <f aca="false">I6*Assumptions!$C$9</f>
        <v>4864</v>
      </c>
      <c r="K6" s="26" t="n">
        <f aca="false">D6*Assumptions!$C$42/1000</f>
        <v>38</v>
      </c>
      <c r="L6" s="2" t="s">
        <v>387</v>
      </c>
    </row>
    <row r="7" customFormat="false" ht="15" hidden="false" customHeight="false" outlineLevel="0" collapsed="false">
      <c r="A7" s="5" t="s">
        <v>388</v>
      </c>
      <c r="B7" s="5" t="s">
        <v>382</v>
      </c>
      <c r="C7" s="5" t="s">
        <v>389</v>
      </c>
      <c r="D7" s="14" t="n">
        <v>400</v>
      </c>
      <c r="E7" s="22" t="n">
        <v>2029</v>
      </c>
      <c r="F7" s="23" t="n">
        <v>40</v>
      </c>
      <c r="G7" s="14" t="n">
        <v>150000</v>
      </c>
      <c r="H7" s="24" t="n">
        <f aca="false">F7*1000/Assumptions!$C$49*Assumptions!$C$50</f>
        <v>24000</v>
      </c>
      <c r="I7" s="25" t="n">
        <f aca="false">F7*Assumptions!$C$42</f>
        <v>1520</v>
      </c>
      <c r="J7" s="25" t="n">
        <f aca="false">I7*Assumptions!$C$9</f>
        <v>972.8</v>
      </c>
      <c r="K7" s="26" t="n">
        <f aca="false">D7*Assumptions!$C$42/1000</f>
        <v>15.2</v>
      </c>
      <c r="L7" s="2" t="s">
        <v>390</v>
      </c>
    </row>
    <row r="8" customFormat="false" ht="15" hidden="false" customHeight="false" outlineLevel="0" collapsed="false">
      <c r="A8" s="5" t="s">
        <v>391</v>
      </c>
      <c r="B8" s="5" t="s">
        <v>392</v>
      </c>
      <c r="C8" s="5" t="s">
        <v>393</v>
      </c>
      <c r="D8" s="14" t="n">
        <v>500</v>
      </c>
      <c r="E8" s="22" t="n">
        <v>2028</v>
      </c>
      <c r="F8" s="23" t="n">
        <v>110</v>
      </c>
      <c r="G8" s="14" t="n">
        <v>260000</v>
      </c>
      <c r="H8" s="24" t="n">
        <f aca="false">F8*1000/Assumptions!$C$49*Assumptions!$C$50</f>
        <v>66000</v>
      </c>
      <c r="I8" s="25" t="n">
        <f aca="false">F8*Assumptions!$C$42</f>
        <v>4180</v>
      </c>
      <c r="J8" s="25" t="n">
        <f aca="false">I8*Assumptions!$C$9</f>
        <v>2675.2</v>
      </c>
      <c r="K8" s="26" t="n">
        <f aca="false">D8*Assumptions!$C$42/1000</f>
        <v>19</v>
      </c>
      <c r="L8" s="2" t="s">
        <v>394</v>
      </c>
    </row>
    <row r="9" customFormat="false" ht="15" hidden="false" customHeight="false" outlineLevel="0" collapsed="false">
      <c r="A9" s="5" t="s">
        <v>395</v>
      </c>
      <c r="B9" s="5" t="s">
        <v>392</v>
      </c>
      <c r="C9" s="5" t="s">
        <v>396</v>
      </c>
      <c r="D9" s="14" t="n">
        <v>200</v>
      </c>
      <c r="E9" s="22" t="n">
        <v>2028</v>
      </c>
      <c r="F9" s="23" t="n">
        <v>40</v>
      </c>
      <c r="G9" s="14" t="n">
        <v>60000</v>
      </c>
      <c r="H9" s="24" t="n">
        <f aca="false">F9*1000/Assumptions!$C$49*Assumptions!$C$50</f>
        <v>24000</v>
      </c>
      <c r="I9" s="25" t="n">
        <f aca="false">F9*Assumptions!$C$42</f>
        <v>1520</v>
      </c>
      <c r="J9" s="25" t="n">
        <f aca="false">I9*Assumptions!$C$9</f>
        <v>972.8</v>
      </c>
      <c r="K9" s="26" t="n">
        <f aca="false">D9*Assumptions!$C$42/1000</f>
        <v>7.6</v>
      </c>
      <c r="L9" s="2" t="s">
        <v>397</v>
      </c>
    </row>
    <row r="10" customFormat="false" ht="15" hidden="false" customHeight="false" outlineLevel="0" collapsed="false">
      <c r="A10" s="5" t="s">
        <v>398</v>
      </c>
      <c r="B10" s="5" t="s">
        <v>392</v>
      </c>
      <c r="C10" s="5" t="s">
        <v>399</v>
      </c>
      <c r="D10" s="14" t="n">
        <v>60</v>
      </c>
      <c r="E10" s="22" t="n">
        <v>2027</v>
      </c>
      <c r="F10" s="23" t="n">
        <v>20</v>
      </c>
      <c r="G10" s="14" t="n">
        <v>10000</v>
      </c>
      <c r="H10" s="24" t="n">
        <f aca="false">F10*1000/Assumptions!$C$49*Assumptions!$C$50</f>
        <v>12000</v>
      </c>
      <c r="I10" s="25" t="n">
        <f aca="false">F10*Assumptions!$C$42</f>
        <v>760</v>
      </c>
      <c r="J10" s="25" t="n">
        <f aca="false">I10*Assumptions!$C$9</f>
        <v>486.4</v>
      </c>
      <c r="K10" s="26" t="n">
        <f aca="false">D10*Assumptions!$C$42/1000</f>
        <v>2.28</v>
      </c>
      <c r="L10" s="2" t="s">
        <v>400</v>
      </c>
    </row>
    <row r="11" customFormat="false" ht="15" hidden="false" customHeight="false" outlineLevel="0" collapsed="false">
      <c r="A11" s="5" t="s">
        <v>401</v>
      </c>
      <c r="B11" s="5" t="s">
        <v>402</v>
      </c>
      <c r="C11" s="5" t="s">
        <v>403</v>
      </c>
      <c r="D11" s="14" t="n">
        <v>1400</v>
      </c>
      <c r="E11" s="22" t="n">
        <v>2030</v>
      </c>
      <c r="F11" s="23" t="n">
        <v>0</v>
      </c>
      <c r="G11" s="14" t="n">
        <v>500000</v>
      </c>
      <c r="H11" s="24" t="n">
        <f aca="false">F11*1000/Assumptions!$C$49*Assumptions!$C$50</f>
        <v>0</v>
      </c>
      <c r="I11" s="25" t="n">
        <f aca="false">F11*Assumptions!$C$42</f>
        <v>0</v>
      </c>
      <c r="J11" s="25" t="n">
        <f aca="false">I11*Assumptions!$C$9</f>
        <v>0</v>
      </c>
      <c r="K11" s="26" t="n">
        <f aca="false">D11*Assumptions!$C$42/1000</f>
        <v>53.2</v>
      </c>
      <c r="L11" s="2" t="s">
        <v>404</v>
      </c>
    </row>
    <row r="12" customFormat="false" ht="15" hidden="false" customHeight="false" outlineLevel="0" collapsed="false">
      <c r="A12" s="5" t="s">
        <v>405</v>
      </c>
      <c r="B12" s="5" t="s">
        <v>402</v>
      </c>
      <c r="C12" s="5" t="s">
        <v>403</v>
      </c>
      <c r="D12" s="14" t="n">
        <v>300</v>
      </c>
      <c r="E12" s="22" t="n">
        <v>2027</v>
      </c>
      <c r="F12" s="23" t="n">
        <v>120</v>
      </c>
      <c r="G12" s="14" t="n">
        <v>60000</v>
      </c>
      <c r="H12" s="24" t="n">
        <f aca="false">F12*1000/Assumptions!$C$49*Assumptions!$C$50</f>
        <v>72000</v>
      </c>
      <c r="I12" s="25" t="n">
        <f aca="false">F12*Assumptions!$C$42</f>
        <v>4560</v>
      </c>
      <c r="J12" s="25" t="n">
        <f aca="false">I12*Assumptions!$C$9</f>
        <v>2918.4</v>
      </c>
      <c r="K12" s="26" t="n">
        <f aca="false">D12*Assumptions!$C$42/1000</f>
        <v>11.4</v>
      </c>
      <c r="L12" s="2" t="s">
        <v>406</v>
      </c>
    </row>
    <row r="13" customFormat="false" ht="15" hidden="false" customHeight="false" outlineLevel="0" collapsed="false">
      <c r="A13" s="5" t="s">
        <v>407</v>
      </c>
      <c r="B13" s="5" t="s">
        <v>402</v>
      </c>
      <c r="C13" s="5" t="s">
        <v>408</v>
      </c>
      <c r="D13" s="14" t="n">
        <v>2400</v>
      </c>
      <c r="E13" s="22" t="n">
        <v>2030</v>
      </c>
      <c r="F13" s="23" t="n">
        <v>60</v>
      </c>
      <c r="G13" s="14" t="n">
        <v>18000</v>
      </c>
      <c r="H13" s="24" t="n">
        <f aca="false">F13*1000/Assumptions!$C$49*Assumptions!$C$50</f>
        <v>36000</v>
      </c>
      <c r="I13" s="25" t="n">
        <f aca="false">F13*Assumptions!$C$42</f>
        <v>2280</v>
      </c>
      <c r="J13" s="25" t="n">
        <f aca="false">I13*Assumptions!$C$9</f>
        <v>1459.2</v>
      </c>
      <c r="K13" s="26" t="n">
        <f aca="false">D13*Assumptions!$C$42/1000</f>
        <v>91.2</v>
      </c>
      <c r="L13" s="2" t="s">
        <v>409</v>
      </c>
    </row>
    <row r="14" customFormat="false" ht="15" hidden="false" customHeight="false" outlineLevel="0" collapsed="false">
      <c r="A14" s="5" t="s">
        <v>410</v>
      </c>
      <c r="B14" s="5" t="s">
        <v>402</v>
      </c>
      <c r="C14" s="5" t="s">
        <v>411</v>
      </c>
      <c r="D14" s="14" t="n">
        <v>25</v>
      </c>
      <c r="E14" s="22" t="n">
        <v>2026</v>
      </c>
      <c r="F14" s="23" t="n">
        <v>25</v>
      </c>
      <c r="G14" s="14" t="n">
        <v>10000</v>
      </c>
      <c r="H14" s="24" t="n">
        <f aca="false">F14*1000/Assumptions!$C$49*Assumptions!$C$50</f>
        <v>15000</v>
      </c>
      <c r="I14" s="25" t="n">
        <f aca="false">F14*Assumptions!$C$42</f>
        <v>950</v>
      </c>
      <c r="J14" s="25" t="n">
        <f aca="false">I14*Assumptions!$C$9</f>
        <v>608</v>
      </c>
      <c r="K14" s="26" t="n">
        <f aca="false">D14*Assumptions!$C$42/1000</f>
        <v>0.95</v>
      </c>
      <c r="L14" s="2" t="s">
        <v>412</v>
      </c>
    </row>
    <row r="15" customFormat="false" ht="15" hidden="false" customHeight="false" outlineLevel="0" collapsed="false">
      <c r="A15" s="5" t="s">
        <v>413</v>
      </c>
      <c r="B15" s="5" t="s">
        <v>402</v>
      </c>
      <c r="C15" s="5" t="s">
        <v>414</v>
      </c>
      <c r="D15" s="14" t="n">
        <v>200</v>
      </c>
      <c r="E15" s="22" t="n">
        <v>2028</v>
      </c>
      <c r="F15" s="23" t="n">
        <v>30</v>
      </c>
      <c r="G15" s="14" t="n">
        <v>58640</v>
      </c>
      <c r="H15" s="24" t="n">
        <f aca="false">F15*1000/Assumptions!$C$49*Assumptions!$C$50</f>
        <v>18000</v>
      </c>
      <c r="I15" s="25" t="n">
        <f aca="false">F15*Assumptions!$C$42</f>
        <v>1140</v>
      </c>
      <c r="J15" s="25" t="n">
        <f aca="false">I15*Assumptions!$C$9</f>
        <v>729.6</v>
      </c>
      <c r="K15" s="26" t="n">
        <f aca="false">D15*Assumptions!$C$42/1000</f>
        <v>7.6</v>
      </c>
      <c r="L15" s="2" t="s">
        <v>415</v>
      </c>
    </row>
    <row r="16" customFormat="false" ht="15" hidden="false" customHeight="false" outlineLevel="0" collapsed="false">
      <c r="A16" s="5" t="s">
        <v>416</v>
      </c>
      <c r="B16" s="5" t="s">
        <v>402</v>
      </c>
      <c r="C16" s="5" t="s">
        <v>417</v>
      </c>
      <c r="D16" s="14" t="n">
        <v>150</v>
      </c>
      <c r="E16" s="22" t="n">
        <v>2028</v>
      </c>
      <c r="F16" s="23" t="n">
        <v>50</v>
      </c>
      <c r="G16" s="14" t="n">
        <v>30000</v>
      </c>
      <c r="H16" s="24" t="n">
        <f aca="false">F16*1000/Assumptions!$C$49*Assumptions!$C$50</f>
        <v>30000</v>
      </c>
      <c r="I16" s="25" t="n">
        <f aca="false">F16*Assumptions!$C$42</f>
        <v>1900</v>
      </c>
      <c r="J16" s="25" t="n">
        <f aca="false">I16*Assumptions!$C$9</f>
        <v>1216</v>
      </c>
      <c r="K16" s="26" t="n">
        <f aca="false">D16*Assumptions!$C$42/1000</f>
        <v>5.7</v>
      </c>
      <c r="L16" s="2" t="s">
        <v>418</v>
      </c>
    </row>
    <row r="17" customFormat="false" ht="15" hidden="false" customHeight="false" outlineLevel="0" collapsed="false">
      <c r="A17" s="5" t="s">
        <v>419</v>
      </c>
      <c r="B17" s="5" t="s">
        <v>420</v>
      </c>
      <c r="C17" s="5" t="s">
        <v>421</v>
      </c>
      <c r="D17" s="14" t="n">
        <v>90</v>
      </c>
      <c r="E17" s="22" t="n">
        <v>2027</v>
      </c>
      <c r="F17" s="23" t="n">
        <v>60</v>
      </c>
      <c r="G17" s="14" t="n">
        <v>45000</v>
      </c>
      <c r="H17" s="24" t="n">
        <f aca="false">F17*1000/Assumptions!$C$49*Assumptions!$C$50</f>
        <v>36000</v>
      </c>
      <c r="I17" s="25" t="n">
        <f aca="false">F17*Assumptions!$C$42</f>
        <v>2280</v>
      </c>
      <c r="J17" s="25" t="n">
        <f aca="false">I17*Assumptions!$C$9</f>
        <v>1459.2</v>
      </c>
      <c r="K17" s="26" t="n">
        <f aca="false">D17*Assumptions!$C$42/1000</f>
        <v>3.42</v>
      </c>
      <c r="L17" s="2" t="s">
        <v>422</v>
      </c>
    </row>
    <row r="18" customFormat="false" ht="15" hidden="false" customHeight="false" outlineLevel="0" collapsed="false">
      <c r="A18" s="5" t="s">
        <v>423</v>
      </c>
      <c r="B18" s="5" t="s">
        <v>420</v>
      </c>
      <c r="C18" s="5" t="s">
        <v>424</v>
      </c>
      <c r="D18" s="14" t="n">
        <v>600</v>
      </c>
      <c r="E18" s="22" t="n">
        <v>2029</v>
      </c>
      <c r="F18" s="23" t="n">
        <v>100</v>
      </c>
      <c r="G18" s="14" t="n">
        <v>0</v>
      </c>
      <c r="H18" s="24" t="n">
        <f aca="false">F18*1000/Assumptions!$C$49*Assumptions!$C$50</f>
        <v>60000</v>
      </c>
      <c r="I18" s="25" t="n">
        <f aca="false">F18*Assumptions!$C$42</f>
        <v>3800</v>
      </c>
      <c r="J18" s="25" t="n">
        <f aca="false">I18*Assumptions!$C$9</f>
        <v>2432</v>
      </c>
      <c r="K18" s="26" t="n">
        <f aca="false">D18*Assumptions!$C$42/1000</f>
        <v>22.8</v>
      </c>
      <c r="L18" s="2" t="s">
        <v>425</v>
      </c>
    </row>
    <row r="19" customFormat="false" ht="15" hidden="false" customHeight="false" outlineLevel="0" collapsed="false">
      <c r="A19" s="5" t="s">
        <v>426</v>
      </c>
      <c r="B19" s="5" t="s">
        <v>420</v>
      </c>
      <c r="C19" s="5" t="s">
        <v>427</v>
      </c>
      <c r="D19" s="14" t="n">
        <v>400</v>
      </c>
      <c r="E19" s="22" t="n">
        <v>2030</v>
      </c>
      <c r="F19" s="23" t="n">
        <v>30</v>
      </c>
      <c r="G19" s="14" t="n">
        <v>0</v>
      </c>
      <c r="H19" s="24" t="n">
        <f aca="false">F19*1000/Assumptions!$C$49*Assumptions!$C$50</f>
        <v>18000</v>
      </c>
      <c r="I19" s="25" t="n">
        <f aca="false">F19*Assumptions!$C$42</f>
        <v>1140</v>
      </c>
      <c r="J19" s="25" t="n">
        <f aca="false">I19*Assumptions!$C$9</f>
        <v>729.6</v>
      </c>
      <c r="K19" s="26" t="n">
        <f aca="false">D19*Assumptions!$C$42/1000</f>
        <v>15.2</v>
      </c>
      <c r="L19" s="2" t="s">
        <v>428</v>
      </c>
    </row>
    <row r="20" customFormat="false" ht="15" hidden="false" customHeight="false" outlineLevel="0" collapsed="false">
      <c r="A20" s="5" t="s">
        <v>429</v>
      </c>
      <c r="B20" s="5" t="s">
        <v>420</v>
      </c>
      <c r="C20" s="5" t="s">
        <v>430</v>
      </c>
      <c r="D20" s="14" t="n">
        <v>150</v>
      </c>
      <c r="E20" s="22" t="n">
        <v>2029</v>
      </c>
      <c r="F20" s="23" t="n">
        <v>40</v>
      </c>
      <c r="G20" s="14" t="n">
        <v>0</v>
      </c>
      <c r="H20" s="24" t="n">
        <f aca="false">F20*1000/Assumptions!$C$49*Assumptions!$C$50</f>
        <v>24000</v>
      </c>
      <c r="I20" s="25" t="n">
        <f aca="false">F20*Assumptions!$C$42</f>
        <v>1520</v>
      </c>
      <c r="J20" s="25" t="n">
        <f aca="false">I20*Assumptions!$C$9</f>
        <v>972.8</v>
      </c>
      <c r="K20" s="26" t="n">
        <f aca="false">D20*Assumptions!$C$42/1000</f>
        <v>5.7</v>
      </c>
      <c r="L20" s="2" t="s">
        <v>431</v>
      </c>
    </row>
    <row r="21" customFormat="false" ht="15" hidden="false" customHeight="false" outlineLevel="0" collapsed="false">
      <c r="A21" s="5" t="s">
        <v>432</v>
      </c>
      <c r="B21" s="5" t="s">
        <v>420</v>
      </c>
      <c r="C21" s="5" t="s">
        <v>433</v>
      </c>
      <c r="D21" s="14" t="n">
        <v>150</v>
      </c>
      <c r="E21" s="22" t="n">
        <v>2029</v>
      </c>
      <c r="F21" s="23" t="n">
        <v>30</v>
      </c>
      <c r="G21" s="14" t="n">
        <v>0</v>
      </c>
      <c r="H21" s="24" t="n">
        <f aca="false">F21*1000/Assumptions!$C$49*Assumptions!$C$50</f>
        <v>18000</v>
      </c>
      <c r="I21" s="25" t="n">
        <f aca="false">F21*Assumptions!$C$42</f>
        <v>1140</v>
      </c>
      <c r="J21" s="25" t="n">
        <f aca="false">I21*Assumptions!$C$9</f>
        <v>729.6</v>
      </c>
      <c r="K21" s="26" t="n">
        <f aca="false">D21*Assumptions!$C$42/1000</f>
        <v>5.7</v>
      </c>
      <c r="L21" s="2" t="s">
        <v>434</v>
      </c>
    </row>
    <row r="22" customFormat="false" ht="15" hidden="false" customHeight="false" outlineLevel="0" collapsed="false">
      <c r="A22" s="5" t="s">
        <v>435</v>
      </c>
      <c r="B22" s="5" t="s">
        <v>420</v>
      </c>
      <c r="C22" s="5" t="s">
        <v>436</v>
      </c>
      <c r="D22" s="14" t="n">
        <v>80</v>
      </c>
      <c r="E22" s="22" t="n">
        <v>2029</v>
      </c>
      <c r="F22" s="23" t="n">
        <v>20</v>
      </c>
      <c r="G22" s="14" t="n">
        <v>0</v>
      </c>
      <c r="H22" s="24" t="n">
        <f aca="false">F22*1000/Assumptions!$C$49*Assumptions!$C$50</f>
        <v>12000</v>
      </c>
      <c r="I22" s="25" t="n">
        <f aca="false">F22*Assumptions!$C$42</f>
        <v>760</v>
      </c>
      <c r="J22" s="25" t="n">
        <f aca="false">I22*Assumptions!$C$9</f>
        <v>486.4</v>
      </c>
      <c r="K22" s="26" t="n">
        <f aca="false">D22*Assumptions!$C$42/1000</f>
        <v>3.04</v>
      </c>
      <c r="L22" s="2" t="s">
        <v>431</v>
      </c>
    </row>
    <row r="23" customFormat="false" ht="15" hidden="false" customHeight="false" outlineLevel="0" collapsed="false">
      <c r="A23" s="3" t="s">
        <v>437</v>
      </c>
      <c r="D23" s="27" t="n">
        <f aca="false">SUM(D5:D22)</f>
        <v>10005</v>
      </c>
      <c r="F23" s="27" t="n">
        <f aca="false">SUM(F5:F22)</f>
        <v>1125</v>
      </c>
      <c r="G23" s="27" t="n">
        <f aca="false">SUM(G5:G22)</f>
        <v>1801640</v>
      </c>
      <c r="H23" s="27" t="n">
        <f aca="false">SUM(H5:H22)</f>
        <v>675000</v>
      </c>
      <c r="I23" s="28" t="n">
        <f aca="false">SUM(I5:I22)</f>
        <v>42750</v>
      </c>
      <c r="J23" s="28" t="n">
        <f aca="false">SUM(J5:J22)</f>
        <v>27360</v>
      </c>
      <c r="K23" s="29" t="n">
        <f aca="false">SUM(K5:K22)</f>
        <v>380.19</v>
      </c>
    </row>
    <row r="25" customFormat="false" ht="15" hidden="false" customHeight="false" outlineLevel="0" collapsed="false">
      <c r="A25" s="2" t="s">
        <v>438</v>
      </c>
    </row>
    <row r="27" customFormat="false" ht="15" hidden="false" customHeight="false" outlineLevel="0" collapsed="false">
      <c r="A27" s="3" t="s">
        <v>439</v>
      </c>
    </row>
    <row r="28" customFormat="false" ht="52.2" hidden="false" customHeight="false" outlineLevel="0" collapsed="false">
      <c r="A28" s="6" t="s">
        <v>370</v>
      </c>
      <c r="B28" s="6" t="s">
        <v>440</v>
      </c>
      <c r="C28" s="6" t="s">
        <v>441</v>
      </c>
      <c r="D28" s="6" t="s">
        <v>377</v>
      </c>
      <c r="E28" s="6" t="s">
        <v>442</v>
      </c>
      <c r="F28" s="6" t="s">
        <v>443</v>
      </c>
    </row>
    <row r="29" customFormat="false" ht="15" hidden="false" customHeight="false" outlineLevel="0" collapsed="false">
      <c r="A29" s="5" t="s">
        <v>382</v>
      </c>
      <c r="B29" s="24" t="n">
        <f aca="false">SUMIF($B$5:$B$22,A29,$F$5:$F$22)</f>
        <v>390</v>
      </c>
      <c r="C29" s="24" t="n">
        <f aca="false">SUMIF($B$5:$B$22,A29,$H$5:$H$22)</f>
        <v>234000</v>
      </c>
      <c r="D29" s="25" t="n">
        <f aca="false">SUMIF($B$5:$B$22,A29,$I$5:$I$22)</f>
        <v>14820</v>
      </c>
      <c r="E29" s="25" t="n">
        <f aca="false">SUMIF($B$5:$B$22,A29,$J$5:$J$22)</f>
        <v>9484.8</v>
      </c>
      <c r="F29" s="24" t="n">
        <f aca="false">SUMIF($B$5:$B$22,A29,$D$5:$D$22)</f>
        <v>3300</v>
      </c>
    </row>
    <row r="30" customFormat="false" ht="15" hidden="false" customHeight="false" outlineLevel="0" collapsed="false">
      <c r="A30" s="5" t="s">
        <v>392</v>
      </c>
      <c r="B30" s="24" t="n">
        <f aca="false">SUMIF($B$5:$B$22,A30,$F$5:$F$22)</f>
        <v>170</v>
      </c>
      <c r="C30" s="24" t="n">
        <f aca="false">SUMIF($B$5:$B$22,A30,$H$5:$H$22)</f>
        <v>102000</v>
      </c>
      <c r="D30" s="25" t="n">
        <f aca="false">SUMIF($B$5:$B$22,A30,$I$5:$I$22)</f>
        <v>6460</v>
      </c>
      <c r="E30" s="25" t="n">
        <f aca="false">SUMIF($B$5:$B$22,A30,$J$5:$J$22)</f>
        <v>4134.4</v>
      </c>
      <c r="F30" s="24" t="n">
        <f aca="false">SUMIF($B$5:$B$22,A30,$D$5:$D$22)</f>
        <v>760</v>
      </c>
    </row>
    <row r="31" customFormat="false" ht="15" hidden="false" customHeight="false" outlineLevel="0" collapsed="false">
      <c r="A31" s="5" t="s">
        <v>402</v>
      </c>
      <c r="B31" s="24" t="n">
        <f aca="false">SUMIF($B$5:$B$22,A31,$F$5:$F$22)</f>
        <v>285</v>
      </c>
      <c r="C31" s="24" t="n">
        <f aca="false">SUMIF($B$5:$B$22,A31,$H$5:$H$22)</f>
        <v>171000</v>
      </c>
      <c r="D31" s="25" t="n">
        <f aca="false">SUMIF($B$5:$B$22,A31,$I$5:$I$22)</f>
        <v>10830</v>
      </c>
      <c r="E31" s="25" t="n">
        <f aca="false">SUMIF($B$5:$B$22,A31,$J$5:$J$22)</f>
        <v>6931.2</v>
      </c>
      <c r="F31" s="24" t="n">
        <f aca="false">SUMIF($B$5:$B$22,A31,$D$5:$D$22)</f>
        <v>4475</v>
      </c>
    </row>
    <row r="32" customFormat="false" ht="15" hidden="false" customHeight="false" outlineLevel="0" collapsed="false">
      <c r="A32" s="5" t="s">
        <v>420</v>
      </c>
      <c r="B32" s="24" t="n">
        <f aca="false">SUMIF($B$5:$B$22,A32,$F$5:$F$22)</f>
        <v>280</v>
      </c>
      <c r="C32" s="24" t="n">
        <f aca="false">SUMIF($B$5:$B$22,A32,$H$5:$H$22)</f>
        <v>168000</v>
      </c>
      <c r="D32" s="25" t="n">
        <f aca="false">SUMIF($B$5:$B$22,A32,$I$5:$I$22)</f>
        <v>10640</v>
      </c>
      <c r="E32" s="25" t="n">
        <f aca="false">SUMIF($B$5:$B$22,A32,$J$5:$J$22)</f>
        <v>6809.6</v>
      </c>
      <c r="F32" s="24" t="n">
        <f aca="false">SUMIF($B$5:$B$22,A32,$D$5:$D$22)</f>
        <v>1470</v>
      </c>
    </row>
    <row r="33" customFormat="false" ht="15" hidden="false" customHeight="false" outlineLevel="0" collapsed="false">
      <c r="A33" s="5" t="s">
        <v>444</v>
      </c>
      <c r="D33" s="30" t="n">
        <f aca="false">D29/I23</f>
        <v>0.346666666666667</v>
      </c>
    </row>
    <row r="34" customFormat="false" ht="15" hidden="false" customHeight="false" outlineLevel="0" collapsed="false">
      <c r="A34" s="5" t="s">
        <v>445</v>
      </c>
      <c r="F34" s="30" t="n">
        <f aca="false">F31/D23</f>
        <v>0.447276361819091</v>
      </c>
    </row>
    <row r="35" customFormat="false" ht="15" hidden="false" customHeight="false" outlineLevel="0" collapsed="false">
      <c r="A35" s="5" t="s">
        <v>446</v>
      </c>
      <c r="B35" s="30" t="n">
        <f aca="false">B31/F23</f>
        <v>0.253333333333333</v>
      </c>
    </row>
    <row r="37" customFormat="false" ht="15" hidden="false" customHeight="false" outlineLevel="0" collapsed="false">
      <c r="A37" s="3" t="s">
        <v>447</v>
      </c>
    </row>
    <row r="38" customFormat="false" ht="15" hidden="false" customHeight="false" outlineLevel="0" collapsed="false">
      <c r="A38" s="5" t="s">
        <v>448</v>
      </c>
      <c r="C38" s="31" t="n">
        <f aca="false">F23/1000</f>
        <v>1.125</v>
      </c>
    </row>
    <row r="39" customFormat="false" ht="15" hidden="false" customHeight="false" outlineLevel="0" collapsed="false">
      <c r="A39" s="3" t="s">
        <v>449</v>
      </c>
      <c r="C39" s="29" t="n">
        <f aca="false">I23/1000</f>
        <v>42.75</v>
      </c>
    </row>
    <row r="40" customFormat="false" ht="15" hidden="false" customHeight="false" outlineLevel="0" collapsed="false">
      <c r="A40" s="3" t="s">
        <v>450</v>
      </c>
      <c r="C40" s="29" t="n">
        <f aca="false">J23/1000</f>
        <v>27.36</v>
      </c>
    </row>
    <row r="41" customFormat="false" ht="15" hidden="false" customHeight="false" outlineLevel="0" collapsed="false">
      <c r="A41" s="5" t="s">
        <v>451</v>
      </c>
      <c r="C41" s="24" t="n">
        <f aca="false">H23</f>
        <v>675000</v>
      </c>
    </row>
    <row r="42" customFormat="false" ht="15" hidden="false" customHeight="false" outlineLevel="0" collapsed="false">
      <c r="A42" s="5" t="s">
        <v>452</v>
      </c>
      <c r="C42" s="32" t="n">
        <f aca="false">D23/1000</f>
        <v>10.005</v>
      </c>
    </row>
    <row r="43" customFormat="false" ht="15" hidden="false" customHeight="false" outlineLevel="0" collapsed="false">
      <c r="A43" s="5" t="s">
        <v>453</v>
      </c>
      <c r="C43" s="25" t="n">
        <f aca="false">K23</f>
        <v>380.19</v>
      </c>
    </row>
    <row r="44" customFormat="false" ht="15" hidden="false" customHeight="false" outlineLevel="0" collapsed="false">
      <c r="A44" s="5" t="s">
        <v>454</v>
      </c>
      <c r="C44" s="32" t="n">
        <f aca="false">D23/F23</f>
        <v>8.89333333333333</v>
      </c>
      <c r="D44" s="2" t="s">
        <v>455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2"/>
    <col collapsed="false" customWidth="true" hidden="false" outlineLevel="0" max="3" min="3" style="0" width="18"/>
    <col collapsed="false" customWidth="true" hidden="false" outlineLevel="0" max="4" min="4" style="0" width="110"/>
  </cols>
  <sheetData>
    <row r="1" customFormat="false" ht="17.35" hidden="false" customHeight="false" outlineLevel="0" collapsed="false">
      <c r="A1" s="1" t="s">
        <v>456</v>
      </c>
    </row>
    <row r="2" customFormat="false" ht="15" hidden="false" customHeight="false" outlineLevel="0" collapsed="false">
      <c r="A2" s="2" t="s">
        <v>457</v>
      </c>
    </row>
    <row r="4" customFormat="false" ht="15" hidden="false" customHeight="false" outlineLevel="0" collapsed="false">
      <c r="A4" s="6" t="s">
        <v>458</v>
      </c>
      <c r="B4" s="6" t="s">
        <v>459</v>
      </c>
      <c r="C4" s="6" t="s">
        <v>26</v>
      </c>
      <c r="D4" s="6" t="s">
        <v>460</v>
      </c>
    </row>
    <row r="5" customFormat="false" ht="15" hidden="false" customHeight="false" outlineLevel="0" collapsed="false">
      <c r="A5" s="7"/>
      <c r="B5" s="8" t="s">
        <v>461</v>
      </c>
      <c r="C5" s="7"/>
      <c r="D5" s="7"/>
    </row>
    <row r="6" customFormat="false" ht="15" hidden="false" customHeight="false" outlineLevel="0" collapsed="false">
      <c r="A6" s="2" t="s">
        <v>462</v>
      </c>
      <c r="B6" s="5" t="s">
        <v>463</v>
      </c>
      <c r="C6" s="33" t="n">
        <f aca="false">Assumptions!$C$6</f>
        <v>30</v>
      </c>
      <c r="D6" s="34" t="s">
        <v>464</v>
      </c>
    </row>
    <row r="7" customFormat="false" ht="15" hidden="false" customHeight="false" outlineLevel="0" collapsed="false">
      <c r="A7" s="2" t="s">
        <v>465</v>
      </c>
      <c r="B7" s="5" t="s">
        <v>466</v>
      </c>
      <c r="C7" s="35" t="n">
        <f aca="false">Assumptions!$C$7</f>
        <v>0.4</v>
      </c>
      <c r="D7" s="34" t="s">
        <v>467</v>
      </c>
    </row>
    <row r="8" customFormat="false" ht="15" hidden="false" customHeight="false" outlineLevel="0" collapsed="false">
      <c r="A8" s="2" t="s">
        <v>468</v>
      </c>
      <c r="B8" s="5" t="s">
        <v>469</v>
      </c>
      <c r="C8" s="36" t="n">
        <f aca="false">C6*(1+C7)</f>
        <v>42</v>
      </c>
      <c r="D8" s="34" t="s">
        <v>470</v>
      </c>
    </row>
    <row r="9" customFormat="false" ht="15" hidden="false" customHeight="false" outlineLevel="0" collapsed="false">
      <c r="A9" s="2" t="s">
        <v>471</v>
      </c>
      <c r="B9" s="5" t="s">
        <v>472</v>
      </c>
      <c r="C9" s="35" t="n">
        <f aca="false">Assumptions!$C$8</f>
        <v>0.85</v>
      </c>
      <c r="D9" s="34" t="s">
        <v>473</v>
      </c>
    </row>
    <row r="10" customFormat="false" ht="15" hidden="false" customHeight="false" outlineLevel="0" collapsed="false">
      <c r="A10" s="2" t="s">
        <v>474</v>
      </c>
      <c r="B10" s="5" t="s">
        <v>475</v>
      </c>
      <c r="C10" s="36" t="n">
        <f aca="false">C8/C9</f>
        <v>49.4117647058824</v>
      </c>
      <c r="D10" s="34" t="s">
        <v>476</v>
      </c>
    </row>
    <row r="11" customFormat="false" ht="15" hidden="false" customHeight="false" outlineLevel="0" collapsed="false">
      <c r="A11" s="2" t="s">
        <v>477</v>
      </c>
      <c r="B11" s="5" t="s">
        <v>478</v>
      </c>
      <c r="C11" s="35" t="n">
        <f aca="false">Assumptions!$C$9</f>
        <v>0.64</v>
      </c>
      <c r="D11" s="34" t="s">
        <v>479</v>
      </c>
    </row>
    <row r="12" customFormat="false" ht="15" hidden="false" customHeight="false" outlineLevel="0" collapsed="false">
      <c r="A12" s="37" t="s">
        <v>480</v>
      </c>
      <c r="B12" s="38" t="s">
        <v>481</v>
      </c>
      <c r="C12" s="39" t="n">
        <f aca="false">C10/C11</f>
        <v>77.2058823529412</v>
      </c>
      <c r="D12" s="40" t="s">
        <v>482</v>
      </c>
    </row>
    <row r="13" customFormat="false" ht="15" hidden="false" customHeight="false" outlineLevel="0" collapsed="false">
      <c r="A13" s="2" t="s">
        <v>483</v>
      </c>
      <c r="B13" s="5" t="s">
        <v>484</v>
      </c>
      <c r="C13" s="41" t="n">
        <f aca="false">C12/Assumptions!$C$42</f>
        <v>2.03173374613003</v>
      </c>
      <c r="D13" s="34" t="s">
        <v>485</v>
      </c>
    </row>
    <row r="14" customFormat="false" ht="15" hidden="false" customHeight="false" outlineLevel="0" collapsed="false">
      <c r="A14" s="7"/>
      <c r="B14" s="8" t="s">
        <v>486</v>
      </c>
      <c r="C14" s="7"/>
      <c r="D14" s="7"/>
    </row>
    <row r="15" customFormat="false" ht="15" hidden="false" customHeight="false" outlineLevel="0" collapsed="false">
      <c r="A15" s="2" t="s">
        <v>487</v>
      </c>
      <c r="B15" s="5" t="s">
        <v>488</v>
      </c>
      <c r="C15" s="36" t="n">
        <f aca="false">Assumptions!$C$10*(1+Assumptions!$C$11)</f>
        <v>48.24</v>
      </c>
      <c r="D15" s="34" t="s">
        <v>489</v>
      </c>
    </row>
    <row r="16" customFormat="false" ht="15" hidden="false" customHeight="false" outlineLevel="0" collapsed="false">
      <c r="A16" s="2" t="s">
        <v>490</v>
      </c>
      <c r="B16" s="5" t="s">
        <v>66</v>
      </c>
      <c r="C16" s="33" t="n">
        <f aca="false">Assumptions!$C$12</f>
        <v>48.9</v>
      </c>
      <c r="D16" s="34" t="s">
        <v>491</v>
      </c>
    </row>
    <row r="17" customFormat="false" ht="15" hidden="false" customHeight="false" outlineLevel="0" collapsed="false">
      <c r="A17" s="2" t="s">
        <v>492</v>
      </c>
      <c r="B17" s="5" t="s">
        <v>493</v>
      </c>
      <c r="C17" s="35" t="n">
        <f aca="false">Assumptions!$C$13</f>
        <v>0.48</v>
      </c>
      <c r="D17" s="34" t="s">
        <v>494</v>
      </c>
    </row>
    <row r="18" customFormat="false" ht="15" hidden="false" customHeight="false" outlineLevel="0" collapsed="false">
      <c r="A18" s="2" t="s">
        <v>495</v>
      </c>
      <c r="B18" s="5" t="s">
        <v>496</v>
      </c>
      <c r="C18" s="36" t="n">
        <f aca="false">AVERAGE(C15,C16)*C17</f>
        <v>23.3136</v>
      </c>
      <c r="D18" s="34" t="s">
        <v>497</v>
      </c>
    </row>
    <row r="19" customFormat="false" ht="15" hidden="false" customHeight="false" outlineLevel="0" collapsed="false">
      <c r="A19" s="2" t="s">
        <v>498</v>
      </c>
      <c r="B19" s="5" t="s">
        <v>499</v>
      </c>
      <c r="C19" s="33" t="n">
        <f aca="false">Assumptions!$C$14</f>
        <v>19.2</v>
      </c>
      <c r="D19" s="34" t="s">
        <v>500</v>
      </c>
    </row>
    <row r="20" customFormat="false" ht="15" hidden="false" customHeight="false" outlineLevel="0" collapsed="false">
      <c r="A20" s="2" t="s">
        <v>501</v>
      </c>
      <c r="B20" s="5" t="s">
        <v>502</v>
      </c>
      <c r="C20" s="36" t="n">
        <f aca="false">Assumptions!$C$15*(91.99/17.81)^(1/10)</f>
        <v>20.9880258004773</v>
      </c>
      <c r="D20" s="34" t="s">
        <v>503</v>
      </c>
    </row>
    <row r="21" customFormat="false" ht="15" hidden="false" customHeight="false" outlineLevel="0" collapsed="false">
      <c r="A21" s="37" t="s">
        <v>504</v>
      </c>
      <c r="B21" s="38" t="s">
        <v>505</v>
      </c>
      <c r="C21" s="39" t="n">
        <f aca="false">AVERAGE(C18,C19,C20)</f>
        <v>21.1672086001591</v>
      </c>
      <c r="D21" s="40" t="s">
        <v>506</v>
      </c>
    </row>
    <row r="22" customFormat="false" ht="15" hidden="false" customHeight="false" outlineLevel="0" collapsed="false">
      <c r="A22" s="7"/>
      <c r="B22" s="8" t="s">
        <v>507</v>
      </c>
      <c r="C22" s="7"/>
      <c r="D22" s="7"/>
    </row>
    <row r="23" customFormat="false" ht="15" hidden="false" customHeight="false" outlineLevel="0" collapsed="false">
      <c r="A23" s="2" t="s">
        <v>508</v>
      </c>
      <c r="B23" s="5" t="s">
        <v>509</v>
      </c>
      <c r="C23" s="42" t="n">
        <f aca="false">(Assumptions!$C$20+Assumptions!$C$21)/Assumptions!$C$22*Assumptions!$C$23</f>
        <v>4.32</v>
      </c>
      <c r="D23" s="34" t="s">
        <v>510</v>
      </c>
    </row>
    <row r="24" customFormat="false" ht="15" hidden="false" customHeight="false" outlineLevel="0" collapsed="false">
      <c r="A24" s="2" t="s">
        <v>511</v>
      </c>
      <c r="B24" s="5" t="s">
        <v>512</v>
      </c>
      <c r="C24" s="42" t="n">
        <f aca="false">Assumptions!$C$24*Assumptions!$C$25+Assumptions!$C$26/5</f>
        <v>4.5</v>
      </c>
      <c r="D24" s="34" t="s">
        <v>513</v>
      </c>
    </row>
    <row r="25" customFormat="false" ht="15" hidden="false" customHeight="false" outlineLevel="0" collapsed="false">
      <c r="A25" s="2" t="s">
        <v>514</v>
      </c>
      <c r="B25" s="5" t="s">
        <v>515</v>
      </c>
      <c r="C25" s="42" t="n">
        <f aca="false">Assumptions!$C$27*Assumptions!$C$93*2/Assumptions!$C$28/1000000000</f>
        <v>0.952366666666667</v>
      </c>
      <c r="D25" s="34" t="s">
        <v>516</v>
      </c>
    </row>
    <row r="26" customFormat="false" ht="15" hidden="false" customHeight="false" outlineLevel="0" collapsed="false">
      <c r="A26" s="2" t="s">
        <v>517</v>
      </c>
      <c r="B26" s="5" t="s">
        <v>518</v>
      </c>
      <c r="C26" s="42" t="n">
        <f aca="false">Assumptions!$C$29/5+Assumptions!$C$30*Assumptions!$C$32/Assumptions!$C$31+Assumptions!$C$33*Assumptions!$C$23/Assumptions!$C$34+Assumptions!$C$35+Assumptions!$C$36+Assumptions!$C$37*Assumptions!$C$38/Assumptions!$C$39</f>
        <v>6.7645</v>
      </c>
      <c r="D26" s="34" t="s">
        <v>519</v>
      </c>
    </row>
    <row r="27" customFormat="false" ht="15" hidden="false" customHeight="false" outlineLevel="0" collapsed="false">
      <c r="A27" s="2" t="s">
        <v>520</v>
      </c>
      <c r="B27" s="5" t="s">
        <v>521</v>
      </c>
      <c r="C27" s="36" t="n">
        <f aca="false">C23+C24+C25+C26</f>
        <v>16.5368666666667</v>
      </c>
      <c r="D27" s="34" t="s">
        <v>522</v>
      </c>
    </row>
    <row r="28" customFormat="false" ht="15" hidden="false" customHeight="false" outlineLevel="0" collapsed="false">
      <c r="A28" s="2" t="s">
        <v>523</v>
      </c>
      <c r="B28" s="5" t="s">
        <v>524</v>
      </c>
      <c r="C28" s="43" t="n">
        <f aca="false">Assumptions!$C$40</f>
        <v>2</v>
      </c>
      <c r="D28" s="34" t="s">
        <v>525</v>
      </c>
    </row>
    <row r="29" customFormat="false" ht="15" hidden="false" customHeight="false" outlineLevel="0" collapsed="false">
      <c r="A29" s="37" t="s">
        <v>526</v>
      </c>
      <c r="B29" s="38" t="s">
        <v>527</v>
      </c>
      <c r="C29" s="39" t="n">
        <f aca="false">C27*(1+C28)</f>
        <v>49.6106</v>
      </c>
      <c r="D29" s="40" t="s">
        <v>528</v>
      </c>
    </row>
    <row r="30" customFormat="false" ht="15" hidden="false" customHeight="false" outlineLevel="0" collapsed="false">
      <c r="A30" s="7"/>
      <c r="B30" s="8" t="s">
        <v>529</v>
      </c>
      <c r="C30" s="7"/>
      <c r="D30" s="7"/>
    </row>
    <row r="31" customFormat="false" ht="15" hidden="false" customHeight="false" outlineLevel="0" collapsed="false">
      <c r="A31" s="2" t="s">
        <v>530</v>
      </c>
      <c r="B31" s="5" t="s">
        <v>531</v>
      </c>
      <c r="C31" s="36" t="n">
        <f aca="false">C12</f>
        <v>77.2058823529412</v>
      </c>
      <c r="D31" s="34"/>
    </row>
    <row r="32" customFormat="false" ht="15" hidden="false" customHeight="false" outlineLevel="0" collapsed="false">
      <c r="A32" s="2" t="s">
        <v>532</v>
      </c>
      <c r="B32" s="5" t="s">
        <v>533</v>
      </c>
      <c r="C32" s="36" t="n">
        <f aca="false">C21</f>
        <v>21.1672086001591</v>
      </c>
      <c r="D32" s="34"/>
    </row>
    <row r="33" customFormat="false" ht="15" hidden="false" customHeight="false" outlineLevel="0" collapsed="false">
      <c r="A33" s="2" t="s">
        <v>534</v>
      </c>
      <c r="B33" s="5" t="s">
        <v>535</v>
      </c>
      <c r="C33" s="36" t="n">
        <f aca="false">C29</f>
        <v>49.6106</v>
      </c>
      <c r="D33" s="34"/>
    </row>
    <row r="34" customFormat="false" ht="15" hidden="false" customHeight="false" outlineLevel="0" collapsed="false">
      <c r="A34" s="37" t="s">
        <v>536</v>
      </c>
      <c r="B34" s="38" t="s">
        <v>537</v>
      </c>
      <c r="C34" s="39" t="n">
        <f aca="false">AVERAGE(C31,C32,C33)</f>
        <v>49.3278969843668</v>
      </c>
      <c r="D34" s="40" t="s">
        <v>538</v>
      </c>
    </row>
    <row r="35" customFormat="false" ht="15" hidden="false" customHeight="false" outlineLevel="0" collapsed="false">
      <c r="A35" s="2" t="s">
        <v>539</v>
      </c>
      <c r="B35" s="5" t="s">
        <v>540</v>
      </c>
      <c r="C35" s="44" t="n">
        <f aca="false">(MAX(C31,C32,C33)-MIN(C31,C32,C33))/C34</f>
        <v>1.1360442503872</v>
      </c>
      <c r="D35" s="34"/>
    </row>
    <row r="36" customFormat="false" ht="15" hidden="false" customHeight="false" outlineLevel="0" collapsed="false">
      <c r="A36" s="2" t="s">
        <v>541</v>
      </c>
      <c r="B36" s="3" t="s">
        <v>542</v>
      </c>
      <c r="C36" s="45" t="n">
        <f aca="false">BottomUp!$C$39</f>
        <v>42.75</v>
      </c>
      <c r="D36" s="34" t="s">
        <v>543</v>
      </c>
    </row>
    <row r="37" customFormat="false" ht="15" hidden="false" customHeight="false" outlineLevel="0" collapsed="false">
      <c r="A37" s="37" t="s">
        <v>544</v>
      </c>
      <c r="B37" s="38" t="s">
        <v>545</v>
      </c>
      <c r="C37" s="46" t="n">
        <f aca="false">C36/C34</f>
        <v>0.866649555596269</v>
      </c>
      <c r="D37" s="40" t="s">
        <v>546</v>
      </c>
    </row>
    <row r="38" customFormat="false" ht="15" hidden="false" customHeight="false" outlineLevel="0" collapsed="false">
      <c r="A38" s="2" t="s">
        <v>547</v>
      </c>
      <c r="B38" s="5" t="s">
        <v>548</v>
      </c>
      <c r="C38" s="47" t="n">
        <f aca="false">BottomUp!$C$38</f>
        <v>1.125</v>
      </c>
      <c r="D38" s="34"/>
    </row>
    <row r="39" customFormat="false" ht="15" hidden="false" customHeight="false" outlineLevel="0" collapsed="false">
      <c r="A39" s="37" t="s">
        <v>549</v>
      </c>
      <c r="B39" s="38" t="s">
        <v>550</v>
      </c>
      <c r="C39" s="48" t="n">
        <f aca="false">C13/C38</f>
        <v>1.80598555211558</v>
      </c>
      <c r="D39" s="40" t="s">
        <v>551</v>
      </c>
    </row>
    <row r="40" customFormat="false" ht="15" hidden="false" customHeight="false" outlineLevel="0" collapsed="false">
      <c r="A40" s="2" t="s">
        <v>552</v>
      </c>
      <c r="B40" s="5" t="s">
        <v>553</v>
      </c>
      <c r="C40" s="44" t="n">
        <f aca="false">C34/Assumptions!$C$17</f>
        <v>0.0493278969843668</v>
      </c>
      <c r="D40" s="34" t="s">
        <v>554</v>
      </c>
    </row>
    <row r="41" customFormat="false" ht="15" hidden="false" customHeight="false" outlineLevel="0" collapsed="false">
      <c r="A41" s="2" t="s">
        <v>555</v>
      </c>
      <c r="B41" s="5" t="s">
        <v>556</v>
      </c>
      <c r="C41" s="44" t="n">
        <f aca="false">C8/(89*4)</f>
        <v>0.117977528089888</v>
      </c>
      <c r="D41" s="34" t="s">
        <v>557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6"/>
    <col collapsed="false" customWidth="true" hidden="false" outlineLevel="0" max="7" min="3" style="0" width="14"/>
    <col collapsed="false" customWidth="true" hidden="false" outlineLevel="0" max="8" min="8" style="0" width="90"/>
  </cols>
  <sheetData>
    <row r="1" customFormat="false" ht="17.35" hidden="false" customHeight="false" outlineLevel="0" collapsed="false">
      <c r="A1" s="1" t="s">
        <v>558</v>
      </c>
    </row>
    <row r="2" customFormat="false" ht="15" hidden="false" customHeight="false" outlineLevel="0" collapsed="false">
      <c r="A2" s="2" t="s">
        <v>559</v>
      </c>
    </row>
    <row r="4" customFormat="false" ht="15" hidden="false" customHeight="false" outlineLevel="0" collapsed="false">
      <c r="A4" s="6" t="s">
        <v>458</v>
      </c>
      <c r="B4" s="6" t="s">
        <v>459</v>
      </c>
      <c r="C4" s="6" t="s">
        <v>560</v>
      </c>
      <c r="D4" s="6" t="s">
        <v>383</v>
      </c>
      <c r="E4" s="6" t="s">
        <v>393</v>
      </c>
      <c r="F4" s="6" t="s">
        <v>411</v>
      </c>
      <c r="G4" s="6" t="s">
        <v>421</v>
      </c>
      <c r="H4" s="6" t="s">
        <v>561</v>
      </c>
    </row>
    <row r="5" customFormat="false" ht="15" hidden="false" customHeight="false" outlineLevel="0" collapsed="false">
      <c r="A5" s="7"/>
      <c r="B5" s="8" t="s">
        <v>562</v>
      </c>
      <c r="C5" s="7"/>
      <c r="D5" s="7"/>
      <c r="E5" s="7"/>
      <c r="F5" s="7"/>
      <c r="G5" s="7"/>
      <c r="H5" s="7"/>
    </row>
    <row r="6" customFormat="false" ht="15" hidden="false" customHeight="false" outlineLevel="0" collapsed="false">
      <c r="A6" s="2" t="s">
        <v>563</v>
      </c>
      <c r="B6" s="5" t="s">
        <v>564</v>
      </c>
      <c r="C6" s="49" t="n">
        <f aca="false">Assumptions!$C$54</f>
        <v>0.0977</v>
      </c>
      <c r="D6" s="49" t="n">
        <f aca="false">Assumptions!$C$69</f>
        <v>0.05</v>
      </c>
      <c r="E6" s="49" t="n">
        <f aca="false">Assumptions!$C$70</f>
        <v>0.13</v>
      </c>
      <c r="F6" s="49" t="n">
        <f aca="false">Assumptions!$C$71</f>
        <v>0.18</v>
      </c>
      <c r="G6" s="49" t="n">
        <f aca="false">Assumptions!$C$72</f>
        <v>0.09</v>
      </c>
      <c r="H6" s="34" t="s">
        <v>565</v>
      </c>
    </row>
    <row r="7" customFormat="false" ht="15" hidden="false" customHeight="false" outlineLevel="0" collapsed="false">
      <c r="A7" s="2" t="s">
        <v>566</v>
      </c>
      <c r="B7" s="5" t="s">
        <v>260</v>
      </c>
      <c r="C7" s="15" t="n">
        <v>1.2</v>
      </c>
      <c r="D7" s="47" t="n">
        <f aca="false">Assumptions!$C$74</f>
        <v>1.25</v>
      </c>
      <c r="E7" s="47" t="n">
        <f aca="false">Assumptions!$C$75</f>
        <v>1.2</v>
      </c>
      <c r="F7" s="47" t="n">
        <f aca="false">Assumptions!$C$75</f>
        <v>1.2</v>
      </c>
      <c r="G7" s="15" t="n">
        <v>1.3</v>
      </c>
      <c r="H7" s="34" t="s">
        <v>567</v>
      </c>
    </row>
    <row r="8" customFormat="false" ht="15" hidden="false" customHeight="false" outlineLevel="0" collapsed="false">
      <c r="A8" s="2" t="s">
        <v>568</v>
      </c>
      <c r="B8" s="5" t="s">
        <v>569</v>
      </c>
      <c r="C8" s="50" t="n">
        <v>0</v>
      </c>
      <c r="D8" s="50" t="n">
        <v>0</v>
      </c>
      <c r="E8" s="50" t="n">
        <v>0.5</v>
      </c>
      <c r="F8" s="51" t="n">
        <f aca="false">Assumptions!$C$76</f>
        <v>1.5</v>
      </c>
      <c r="G8" s="50" t="n">
        <v>1</v>
      </c>
      <c r="H8" s="34" t="s">
        <v>570</v>
      </c>
    </row>
    <row r="9" customFormat="false" ht="15" hidden="false" customHeight="false" outlineLevel="0" collapsed="false">
      <c r="A9" s="2" t="s">
        <v>571</v>
      </c>
      <c r="B9" s="5" t="s">
        <v>572</v>
      </c>
      <c r="C9" s="11" t="n">
        <v>0.005</v>
      </c>
      <c r="D9" s="35" t="n">
        <f aca="false">Assumptions!$C$77</f>
        <v>0.025</v>
      </c>
      <c r="E9" s="11" t="n">
        <v>0.005</v>
      </c>
      <c r="F9" s="11" t="n">
        <v>0.005</v>
      </c>
      <c r="G9" s="11" t="n">
        <v>0.01</v>
      </c>
      <c r="H9" s="34" t="s">
        <v>573</v>
      </c>
    </row>
    <row r="10" customFormat="false" ht="15" hidden="false" customHeight="false" outlineLevel="0" collapsed="false">
      <c r="A10" s="2" t="s">
        <v>574</v>
      </c>
      <c r="B10" s="5" t="s">
        <v>575</v>
      </c>
      <c r="C10" s="35" t="n">
        <f aca="false">Assumptions!$C$60</f>
        <v>0</v>
      </c>
      <c r="D10" s="35" t="n">
        <f aca="false">Assumptions!$C$59</f>
        <v>0.035</v>
      </c>
      <c r="E10" s="35" t="n">
        <f aca="false">Assumptions!$C$65</f>
        <v>-0.125</v>
      </c>
      <c r="F10" s="35" t="n">
        <f aca="false">Assumptions!$C$68</f>
        <v>-0.194</v>
      </c>
      <c r="G10" s="35" t="n">
        <f aca="false">Assumptions!$C$63</f>
        <v>-0.048</v>
      </c>
      <c r="H10" s="34" t="s">
        <v>576</v>
      </c>
    </row>
    <row r="11" customFormat="false" ht="15" hidden="false" customHeight="false" outlineLevel="0" collapsed="false">
      <c r="A11" s="7"/>
      <c r="B11" s="8" t="s">
        <v>577</v>
      </c>
      <c r="C11" s="7"/>
      <c r="D11" s="7"/>
      <c r="E11" s="7"/>
      <c r="F11" s="7"/>
      <c r="G11" s="7"/>
      <c r="H11" s="7"/>
    </row>
    <row r="12" customFormat="false" ht="15" hidden="false" customHeight="false" outlineLevel="0" collapsed="false">
      <c r="A12" s="2" t="s">
        <v>578</v>
      </c>
      <c r="B12" s="5" t="s">
        <v>579</v>
      </c>
      <c r="C12" s="33" t="n">
        <f aca="false">Assumptions!$C$42</f>
        <v>38</v>
      </c>
      <c r="D12" s="33" t="n">
        <f aca="false">Assumptions!$C$42</f>
        <v>38</v>
      </c>
      <c r="E12" s="33" t="n">
        <f aca="false">Assumptions!$C$42</f>
        <v>38</v>
      </c>
      <c r="F12" s="33" t="n">
        <f aca="false">Assumptions!$C$42</f>
        <v>38</v>
      </c>
      <c r="G12" s="33" t="n">
        <f aca="false">Assumptions!$C$42</f>
        <v>38</v>
      </c>
      <c r="H12" s="34" t="s">
        <v>580</v>
      </c>
    </row>
    <row r="13" customFormat="false" ht="15" hidden="false" customHeight="false" outlineLevel="0" collapsed="false">
      <c r="A13" s="2" t="s">
        <v>581</v>
      </c>
      <c r="B13" s="5" t="s">
        <v>582</v>
      </c>
      <c r="C13" s="42" t="n">
        <f aca="false">1000000*C7*Assumptions!$C$53*Assumptions!$C$52*C6/1000000000</f>
        <v>0.71891568</v>
      </c>
      <c r="D13" s="42" t="n">
        <f aca="false">1000000*D7*Assumptions!$C$53*Assumptions!$C$52*D6/1000000000</f>
        <v>0.38325</v>
      </c>
      <c r="E13" s="42" t="n">
        <f aca="false">1000000*E7*Assumptions!$C$53*Assumptions!$C$52*E6/1000000000</f>
        <v>0.956592</v>
      </c>
      <c r="F13" s="42" t="n">
        <f aca="false">1000000*F7*Assumptions!$C$53*Assumptions!$C$52*F6/1000000000</f>
        <v>1.324512</v>
      </c>
      <c r="G13" s="42" t="n">
        <f aca="false">1000000*G7*Assumptions!$C$53*Assumptions!$C$52*G6/1000000000</f>
        <v>0.717444</v>
      </c>
      <c r="H13" s="34" t="s">
        <v>583</v>
      </c>
    </row>
    <row r="14" customFormat="false" ht="15" hidden="false" customHeight="false" outlineLevel="0" collapsed="false">
      <c r="A14" s="2" t="s">
        <v>584</v>
      </c>
      <c r="B14" s="5" t="s">
        <v>585</v>
      </c>
      <c r="C14" s="42" t="n">
        <f aca="false">Assumptions!$C$43-Assumptions!$C$45</f>
        <v>0.31</v>
      </c>
      <c r="D14" s="42" t="n">
        <f aca="false">Assumptions!$C$43-Assumptions!$C$45</f>
        <v>0.31</v>
      </c>
      <c r="E14" s="42" t="n">
        <f aca="false">Assumptions!$C$43-Assumptions!$C$45</f>
        <v>0.31</v>
      </c>
      <c r="F14" s="42" t="n">
        <f aca="false">Assumptions!$C$43-Assumptions!$C$45</f>
        <v>0.31</v>
      </c>
      <c r="G14" s="42" t="n">
        <f aca="false">Assumptions!$C$43-Assumptions!$C$45</f>
        <v>0.31</v>
      </c>
      <c r="H14" s="34" t="s">
        <v>586</v>
      </c>
    </row>
    <row r="15" customFormat="false" ht="15" hidden="false" customHeight="false" outlineLevel="0" collapsed="false">
      <c r="A15" s="2" t="s">
        <v>587</v>
      </c>
      <c r="B15" s="5" t="s">
        <v>588</v>
      </c>
      <c r="C15" s="42" t="n">
        <f aca="false">C12*C9</f>
        <v>0.19</v>
      </c>
      <c r="D15" s="42" t="n">
        <f aca="false">D12*D9</f>
        <v>0.95</v>
      </c>
      <c r="E15" s="42" t="n">
        <f aca="false">E12*E9</f>
        <v>0.19</v>
      </c>
      <c r="F15" s="42" t="n">
        <f aca="false">F12*F9</f>
        <v>0.19</v>
      </c>
      <c r="G15" s="42" t="n">
        <f aca="false">G12*G9</f>
        <v>0.38</v>
      </c>
      <c r="H15" s="34" t="s">
        <v>589</v>
      </c>
    </row>
    <row r="16" customFormat="false" ht="15" hidden="false" customHeight="false" outlineLevel="0" collapsed="false">
      <c r="A16" s="2" t="s">
        <v>590</v>
      </c>
      <c r="B16" s="5" t="s">
        <v>591</v>
      </c>
      <c r="C16" s="42" t="n">
        <f aca="false">C12*Assumptions!$C$9/Assumptions!$C$46+C12*(1-Assumptions!$C$9)/Assumptions!$C$47</f>
        <v>7.448</v>
      </c>
      <c r="D16" s="42" t="n">
        <f aca="false">D12*Assumptions!$C$9/Assumptions!$C$46+D12*(1-Assumptions!$C$9)/Assumptions!$C$47</f>
        <v>7.448</v>
      </c>
      <c r="E16" s="42" t="n">
        <f aca="false">E12*Assumptions!$C$9/Assumptions!$C$46+E12*(1-Assumptions!$C$9)/Assumptions!$C$47</f>
        <v>7.448</v>
      </c>
      <c r="F16" s="42" t="n">
        <f aca="false">F12*Assumptions!$C$9/Assumptions!$C$46+F12*(1-Assumptions!$C$9)/Assumptions!$C$47</f>
        <v>7.448</v>
      </c>
      <c r="G16" s="42" t="n">
        <f aca="false">G12*Assumptions!$C$9/Assumptions!$C$46+G12*(1-Assumptions!$C$9)/Assumptions!$C$47</f>
        <v>7.448</v>
      </c>
      <c r="H16" s="34" t="s">
        <v>592</v>
      </c>
    </row>
    <row r="17" customFormat="false" ht="15" hidden="false" customHeight="false" outlineLevel="0" collapsed="false">
      <c r="A17" s="37" t="s">
        <v>593</v>
      </c>
      <c r="B17" s="38" t="s">
        <v>594</v>
      </c>
      <c r="C17" s="52" t="n">
        <f aca="false">C16+C13+C14+C15</f>
        <v>8.66691568</v>
      </c>
      <c r="D17" s="52" t="n">
        <f aca="false">D16+D13+D14+D15</f>
        <v>9.09125</v>
      </c>
      <c r="E17" s="52" t="n">
        <f aca="false">E16+E13+E14+E15</f>
        <v>8.904592</v>
      </c>
      <c r="F17" s="52" t="n">
        <f aca="false">F16+F13+F14+F15</f>
        <v>9.272512</v>
      </c>
      <c r="G17" s="52" t="n">
        <f aca="false">G16+G13+G14+G15</f>
        <v>8.855444</v>
      </c>
      <c r="H17" s="40" t="s">
        <v>595</v>
      </c>
    </row>
    <row r="18" customFormat="false" ht="15" hidden="false" customHeight="false" outlineLevel="0" collapsed="false">
      <c r="A18" s="2" t="s">
        <v>596</v>
      </c>
      <c r="B18" s="5" t="s">
        <v>597</v>
      </c>
      <c r="C18" s="44" t="n">
        <f aca="false">C8*Assumptions!$C$55</f>
        <v>0</v>
      </c>
      <c r="D18" s="44" t="n">
        <f aca="false">D8*Assumptions!$C$55</f>
        <v>0</v>
      </c>
      <c r="E18" s="44" t="n">
        <f aca="false">E8*Assumptions!$C$55</f>
        <v>0.0275</v>
      </c>
      <c r="F18" s="44" t="n">
        <f aca="false">F8*Assumptions!$C$55</f>
        <v>0.0825</v>
      </c>
      <c r="G18" s="44" t="n">
        <f aca="false">G8*Assumptions!$C$55</f>
        <v>0.055</v>
      </c>
      <c r="H18" s="34" t="s">
        <v>598</v>
      </c>
    </row>
    <row r="19" customFormat="false" ht="15" hidden="false" customHeight="false" outlineLevel="0" collapsed="false">
      <c r="A19" s="2" t="s">
        <v>599</v>
      </c>
      <c r="B19" s="5" t="s">
        <v>600</v>
      </c>
      <c r="C19" s="42" t="n">
        <f aca="false">C18*10*C17</f>
        <v>0</v>
      </c>
      <c r="D19" s="42" t="n">
        <f aca="false">D18*10*D17</f>
        <v>0</v>
      </c>
      <c r="E19" s="42" t="n">
        <f aca="false">E18*10*E17</f>
        <v>2.4487628</v>
      </c>
      <c r="F19" s="42" t="n">
        <f aca="false">F18*10*F17</f>
        <v>7.6498224</v>
      </c>
      <c r="G19" s="42" t="n">
        <f aca="false">G18*10*G17</f>
        <v>4.8704942</v>
      </c>
      <c r="H19" s="34" t="s">
        <v>601</v>
      </c>
    </row>
    <row r="20" customFormat="false" ht="15" hidden="false" customHeight="false" outlineLevel="0" collapsed="false">
      <c r="A20" s="2" t="s">
        <v>602</v>
      </c>
      <c r="B20" s="5" t="s">
        <v>603</v>
      </c>
      <c r="C20" s="44" t="n">
        <f aca="false">C13/C17</f>
        <v>0.0829494259023413</v>
      </c>
      <c r="D20" s="44" t="n">
        <f aca="false">D13/D17</f>
        <v>0.0421559191530318</v>
      </c>
      <c r="E20" s="44" t="n">
        <f aca="false">E13/E17</f>
        <v>0.107426819780176</v>
      </c>
      <c r="F20" s="44" t="n">
        <f aca="false">F13/F17</f>
        <v>0.142842845606455</v>
      </c>
      <c r="G20" s="44" t="n">
        <f aca="false">G13/G17</f>
        <v>0.0810172815727816</v>
      </c>
      <c r="H20" s="34" t="s">
        <v>604</v>
      </c>
    </row>
    <row r="21" customFormat="false" ht="15" hidden="false" customHeight="false" outlineLevel="0" collapsed="false">
      <c r="A21" s="7"/>
      <c r="B21" s="8" t="s">
        <v>605</v>
      </c>
      <c r="C21" s="7"/>
      <c r="D21" s="7"/>
      <c r="E21" s="7"/>
      <c r="F21" s="7"/>
      <c r="G21" s="7"/>
      <c r="H21" s="7"/>
    </row>
    <row r="22" customFormat="false" ht="15" hidden="false" customHeight="false" outlineLevel="0" collapsed="false">
      <c r="A22" s="2" t="s">
        <v>606</v>
      </c>
      <c r="B22" s="5" t="s">
        <v>607</v>
      </c>
      <c r="C22" s="53" t="n">
        <f aca="false">1000000/Assumptions!$C$49*Assumptions!$C$50</f>
        <v>600000</v>
      </c>
      <c r="D22" s="53" t="n">
        <f aca="false">1000000/Assumptions!$C$49*Assumptions!$C$50</f>
        <v>600000</v>
      </c>
      <c r="E22" s="53" t="n">
        <f aca="false">1000000/Assumptions!$C$49*Assumptions!$C$50</f>
        <v>600000</v>
      </c>
      <c r="F22" s="53" t="n">
        <f aca="false">1000000/Assumptions!$C$49*Assumptions!$C$50</f>
        <v>600000</v>
      </c>
      <c r="G22" s="53" t="n">
        <f aca="false">1000000/Assumptions!$C$49*Assumptions!$C$50</f>
        <v>600000</v>
      </c>
      <c r="H22" s="34" t="s">
        <v>608</v>
      </c>
    </row>
    <row r="23" customFormat="false" ht="15" hidden="false" customHeight="false" outlineLevel="0" collapsed="false">
      <c r="A23" s="2" t="s">
        <v>609</v>
      </c>
      <c r="B23" s="5" t="s">
        <v>610</v>
      </c>
      <c r="C23" s="53" t="n">
        <f aca="false">C22*Assumptions!$C$53*Assumptions!$C$52</f>
        <v>3679200000</v>
      </c>
      <c r="D23" s="53" t="n">
        <f aca="false">D22*Assumptions!$C$53*Assumptions!$C$52</f>
        <v>3679200000</v>
      </c>
      <c r="E23" s="53" t="n">
        <f aca="false">E22*Assumptions!$C$53*Assumptions!$C$52</f>
        <v>3679200000</v>
      </c>
      <c r="F23" s="53" t="n">
        <f aca="false">F22*Assumptions!$C$53*Assumptions!$C$52</f>
        <v>3679200000</v>
      </c>
      <c r="G23" s="53" t="n">
        <f aca="false">G22*Assumptions!$C$53*Assumptions!$C$52</f>
        <v>3679200000</v>
      </c>
      <c r="H23" s="34" t="s">
        <v>611</v>
      </c>
    </row>
    <row r="24" customFormat="false" ht="15" hidden="false" customHeight="false" outlineLevel="0" collapsed="false">
      <c r="A24" s="37" t="s">
        <v>612</v>
      </c>
      <c r="B24" s="38" t="s">
        <v>613</v>
      </c>
      <c r="C24" s="52" t="n">
        <f aca="false">C17*1000000000/C23</f>
        <v>2.35565222874538</v>
      </c>
      <c r="D24" s="52" t="n">
        <f aca="false">D17*1000000000/D23</f>
        <v>2.47098554033486</v>
      </c>
      <c r="E24" s="52" t="n">
        <f aca="false">E17*1000000000/E23</f>
        <v>2.42025222874538</v>
      </c>
      <c r="F24" s="52" t="n">
        <f aca="false">F17*1000000000/F23</f>
        <v>2.52025222874538</v>
      </c>
      <c r="G24" s="52" t="n">
        <f aca="false">G17*1000000000/G23</f>
        <v>2.40689388997608</v>
      </c>
      <c r="H24" s="40" t="s">
        <v>614</v>
      </c>
    </row>
    <row r="25" customFormat="false" ht="15" hidden="false" customHeight="false" outlineLevel="0" collapsed="false">
      <c r="A25" s="2" t="s">
        <v>615</v>
      </c>
      <c r="B25" s="3" t="s">
        <v>616</v>
      </c>
      <c r="C25" s="54" t="n">
        <f aca="false">(C17+C19/10)*1000000000/C23</f>
        <v>2.35565222874538</v>
      </c>
      <c r="D25" s="54" t="n">
        <f aca="false">(D17+D19/10)*1000000000/D23</f>
        <v>2.47098554033486</v>
      </c>
      <c r="E25" s="54" t="n">
        <f aca="false">(E17+E19/10)*1000000000/E23</f>
        <v>2.48680916503588</v>
      </c>
      <c r="F25" s="54" t="n">
        <f aca="false">(F17+F19/10)*1000000000/F23</f>
        <v>2.72817303761687</v>
      </c>
      <c r="G25" s="54" t="n">
        <f aca="false">(G17+G19/10)*1000000000/G23</f>
        <v>2.53927305392477</v>
      </c>
      <c r="H25" s="34" t="s">
        <v>617</v>
      </c>
    </row>
    <row r="26" customFormat="false" ht="15" hidden="false" customHeight="false" outlineLevel="0" collapsed="false">
      <c r="A26" s="2" t="s">
        <v>618</v>
      </c>
      <c r="B26" s="5" t="s">
        <v>619</v>
      </c>
      <c r="C26" s="42" t="n">
        <f aca="false">C12*Assumptions!$C$48</f>
        <v>4.56</v>
      </c>
      <c r="D26" s="42" t="n">
        <f aca="false">D12*Assumptions!$C$48</f>
        <v>4.56</v>
      </c>
      <c r="E26" s="42" t="n">
        <f aca="false">E12*Assumptions!$C$48</f>
        <v>4.56</v>
      </c>
      <c r="F26" s="42" t="n">
        <f aca="false">F12*Assumptions!$C$48</f>
        <v>4.56</v>
      </c>
      <c r="G26" s="42" t="n">
        <f aca="false">G12*Assumptions!$C$48</f>
        <v>4.56</v>
      </c>
      <c r="H26" s="34" t="s">
        <v>620</v>
      </c>
    </row>
    <row r="27" customFormat="false" ht="15" hidden="false" customHeight="false" outlineLevel="0" collapsed="false">
      <c r="A27" s="37" t="s">
        <v>621</v>
      </c>
      <c r="B27" s="38" t="s">
        <v>622</v>
      </c>
      <c r="C27" s="52" t="n">
        <f aca="false">(C17+C26)*1000000000/C23</f>
        <v>3.59505209828224</v>
      </c>
      <c r="D27" s="52" t="n">
        <f aca="false">(D17+D26)*1000000000/D23</f>
        <v>3.71038540987171</v>
      </c>
      <c r="E27" s="52" t="n">
        <f aca="false">(E17+E26)*1000000000/E23</f>
        <v>3.65965209828224</v>
      </c>
      <c r="F27" s="52" t="n">
        <f aca="false">(F17+F26)*1000000000/F23</f>
        <v>3.75965209828224</v>
      </c>
      <c r="G27" s="52" t="n">
        <f aca="false">(G17+G26)*1000000000/G23</f>
        <v>3.64629375951294</v>
      </c>
      <c r="H27" s="40" t="s">
        <v>623</v>
      </c>
    </row>
    <row r="28" customFormat="false" ht="15" hidden="false" customHeight="false" outlineLevel="0" collapsed="false">
      <c r="A28" s="2" t="s">
        <v>624</v>
      </c>
      <c r="B28" s="5" t="s">
        <v>625</v>
      </c>
      <c r="C28" s="44" t="n">
        <f aca="false">C24/Assumptions!$C$57</f>
        <v>0.224347831309084</v>
      </c>
      <c r="D28" s="44" t="n">
        <f aca="false">D24/Assumptions!$C$57</f>
        <v>0.235331956222367</v>
      </c>
      <c r="E28" s="44" t="n">
        <f aca="false">E24/Assumptions!$C$57</f>
        <v>0.230500212261465</v>
      </c>
      <c r="F28" s="44" t="n">
        <f aca="false">F24/Assumptions!$C$57</f>
        <v>0.240024021785274</v>
      </c>
      <c r="G28" s="44" t="n">
        <f aca="false">G24/Assumptions!$C$57</f>
        <v>0.229227989521532</v>
      </c>
      <c r="H28" s="34" t="s">
        <v>626</v>
      </c>
    </row>
    <row r="29" customFormat="false" ht="15" hidden="false" customHeight="false" outlineLevel="0" collapsed="false">
      <c r="A29" s="2" t="s">
        <v>627</v>
      </c>
      <c r="B29" s="5" t="s">
        <v>628</v>
      </c>
      <c r="C29" s="44" t="n">
        <f aca="false">C24/Assumptions!$C$84</f>
        <v>0.277135556322986</v>
      </c>
      <c r="D29" s="44" t="n">
        <f aca="false">D24/Assumptions!$C$84</f>
        <v>0.290704181215865</v>
      </c>
      <c r="E29" s="44" t="n">
        <f aca="false">E24/Assumptions!$C$84</f>
        <v>0.284735556322986</v>
      </c>
      <c r="F29" s="44" t="n">
        <f aca="false">F24/Assumptions!$C$84</f>
        <v>0.296500262205339</v>
      </c>
      <c r="G29" s="44" t="n">
        <f aca="false">G24/Assumptions!$C$84</f>
        <v>0.28316398705601</v>
      </c>
      <c r="H29" s="34" t="s">
        <v>629</v>
      </c>
    </row>
    <row r="30" customFormat="false" ht="15" hidden="false" customHeight="false" outlineLevel="0" collapsed="false">
      <c r="A30" s="2" t="s">
        <v>630</v>
      </c>
      <c r="B30" s="5" t="s">
        <v>631</v>
      </c>
      <c r="C30" s="55" t="n">
        <f aca="false">C12*1000000000/C22</f>
        <v>63333.3333333333</v>
      </c>
      <c r="D30" s="55" t="n">
        <f aca="false">D12*1000000000/D22</f>
        <v>63333.3333333333</v>
      </c>
      <c r="E30" s="55" t="n">
        <f aca="false">E12*1000000000/E22</f>
        <v>63333.3333333333</v>
      </c>
      <c r="F30" s="55" t="n">
        <f aca="false">F12*1000000000/F22</f>
        <v>63333.3333333333</v>
      </c>
      <c r="G30" s="55" t="n">
        <f aca="false">G12*1000000000/G22</f>
        <v>63333.3333333333</v>
      </c>
      <c r="H30" s="34" t="s">
        <v>632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3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5" topLeftCell="C6" activePane="bottomRight" state="frozen"/>
      <selection pane="topLeft" activeCell="A1" activeCellId="0" sqref="A1"/>
      <selection pane="topRight" activeCell="C1" activeCellId="0" sqref="C1"/>
      <selection pane="bottomLeft" activeCell="A6" activeCellId="0" sqref="A6"/>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58"/>
    <col collapsed="false" customWidth="true" hidden="false" outlineLevel="0" max="6" min="3" style="0" width="20"/>
  </cols>
  <sheetData>
    <row r="1" customFormat="false" ht="17.35" hidden="false" customHeight="false" outlineLevel="0" collapsed="false">
      <c r="A1" s="1" t="s">
        <v>633</v>
      </c>
    </row>
    <row r="2" customFormat="false" ht="15" hidden="false" customHeight="false" outlineLevel="0" collapsed="false">
      <c r="A2" s="2" t="s">
        <v>634</v>
      </c>
    </row>
    <row r="4" customFormat="false" ht="26.85" hidden="false" customHeight="false" outlineLevel="0" collapsed="false">
      <c r="A4" s="6" t="s">
        <v>458</v>
      </c>
      <c r="B4" s="6" t="s">
        <v>459</v>
      </c>
      <c r="C4" s="6" t="s">
        <v>635</v>
      </c>
      <c r="D4" s="6" t="s">
        <v>636</v>
      </c>
      <c r="E4" s="6" t="s">
        <v>637</v>
      </c>
      <c r="F4" s="6" t="s">
        <v>638</v>
      </c>
    </row>
    <row r="5" customFormat="false" ht="39.75" hidden="false" customHeight="true" outlineLevel="0" collapsed="false">
      <c r="B5" s="3" t="s">
        <v>639</v>
      </c>
      <c r="C5" s="34" t="s">
        <v>640</v>
      </c>
      <c r="D5" s="34" t="s">
        <v>641</v>
      </c>
      <c r="E5" s="34" t="s">
        <v>642</v>
      </c>
      <c r="F5" s="34" t="s">
        <v>643</v>
      </c>
    </row>
    <row r="6" customFormat="false" ht="15" hidden="false" customHeight="false" outlineLevel="0" collapsed="false">
      <c r="A6" s="7"/>
      <c r="B6" s="8" t="s">
        <v>644</v>
      </c>
      <c r="C6" s="7"/>
      <c r="D6" s="7"/>
      <c r="E6" s="7"/>
      <c r="F6" s="7"/>
    </row>
    <row r="7" customFormat="false" ht="15" hidden="false" customHeight="false" outlineLevel="0" collapsed="false">
      <c r="A7" s="2" t="s">
        <v>645</v>
      </c>
      <c r="B7" s="5" t="s">
        <v>646</v>
      </c>
      <c r="C7" s="56" t="n">
        <v>500</v>
      </c>
      <c r="D7" s="56" t="n">
        <v>100</v>
      </c>
      <c r="E7" s="56" t="n">
        <v>190</v>
      </c>
      <c r="F7" s="56" t="n">
        <v>20</v>
      </c>
    </row>
    <row r="8" customFormat="false" ht="15" hidden="false" customHeight="false" outlineLevel="0" collapsed="false">
      <c r="A8" s="2" t="s">
        <v>647</v>
      </c>
      <c r="B8" s="5" t="s">
        <v>648</v>
      </c>
      <c r="C8" s="57" t="n">
        <f aca="false">Assumptions!$C$51</f>
        <v>137.5</v>
      </c>
      <c r="D8" s="57" t="n">
        <f aca="false">Assumptions!$C$49</f>
        <v>120</v>
      </c>
      <c r="E8" s="57" t="n">
        <f aca="false">Assumptions!$C$49</f>
        <v>120</v>
      </c>
      <c r="F8" s="58" t="n">
        <v>14.3</v>
      </c>
    </row>
    <row r="9" customFormat="false" ht="15" hidden="false" customHeight="false" outlineLevel="0" collapsed="false">
      <c r="A9" s="2" t="s">
        <v>649</v>
      </c>
      <c r="B9" s="5" t="s">
        <v>650</v>
      </c>
      <c r="C9" s="56" t="n">
        <v>72</v>
      </c>
      <c r="D9" s="56" t="n">
        <v>72</v>
      </c>
      <c r="E9" s="56" t="n">
        <v>72</v>
      </c>
      <c r="F9" s="56" t="n">
        <v>8</v>
      </c>
    </row>
    <row r="10" customFormat="false" ht="15" hidden="false" customHeight="false" outlineLevel="0" collapsed="false">
      <c r="A10" s="2" t="s">
        <v>651</v>
      </c>
      <c r="B10" s="3" t="s">
        <v>119</v>
      </c>
      <c r="C10" s="59" t="n">
        <f aca="false">C7*1000/C8*C9</f>
        <v>261818.181818182</v>
      </c>
      <c r="D10" s="59" t="n">
        <f aca="false">D7*1000/D8*D9</f>
        <v>60000</v>
      </c>
      <c r="E10" s="59" t="n">
        <f aca="false">E7*1000/E8*E9</f>
        <v>114000</v>
      </c>
      <c r="F10" s="59" t="n">
        <f aca="false">F7*1000/F8*F9</f>
        <v>11188.8111888112</v>
      </c>
    </row>
    <row r="11" customFormat="false" ht="15" hidden="false" customHeight="false" outlineLevel="0" collapsed="false">
      <c r="A11" s="2" t="s">
        <v>652</v>
      </c>
      <c r="B11" s="5" t="s">
        <v>653</v>
      </c>
      <c r="C11" s="60" t="s">
        <v>654</v>
      </c>
      <c r="D11" s="60" t="s">
        <v>655</v>
      </c>
      <c r="E11" s="60" t="s">
        <v>655</v>
      </c>
      <c r="F11" s="60" t="s">
        <v>656</v>
      </c>
    </row>
    <row r="12" customFormat="false" ht="23.85" hidden="false" customHeight="false" outlineLevel="0" collapsed="false">
      <c r="A12" s="2" t="s">
        <v>657</v>
      </c>
      <c r="B12" s="5" t="s">
        <v>658</v>
      </c>
      <c r="C12" s="60" t="s">
        <v>659</v>
      </c>
      <c r="D12" s="60" t="s">
        <v>660</v>
      </c>
      <c r="E12" s="60" t="s">
        <v>661</v>
      </c>
      <c r="F12" s="60" t="s">
        <v>662</v>
      </c>
    </row>
    <row r="13" customFormat="false" ht="35.05" hidden="false" customHeight="false" outlineLevel="0" collapsed="false">
      <c r="A13" s="2" t="s">
        <v>663</v>
      </c>
      <c r="B13" s="5" t="s">
        <v>664</v>
      </c>
      <c r="C13" s="60" t="s">
        <v>665</v>
      </c>
      <c r="D13" s="60" t="s">
        <v>666</v>
      </c>
      <c r="E13" s="60" t="s">
        <v>667</v>
      </c>
      <c r="F13" s="60" t="s">
        <v>668</v>
      </c>
    </row>
    <row r="14" customFormat="false" ht="35.05" hidden="false" customHeight="false" outlineLevel="0" collapsed="false">
      <c r="A14" s="2" t="s">
        <v>669</v>
      </c>
      <c r="B14" s="5" t="s">
        <v>670</v>
      </c>
      <c r="C14" s="60" t="s">
        <v>671</v>
      </c>
      <c r="D14" s="60" t="s">
        <v>672</v>
      </c>
      <c r="E14" s="60" t="s">
        <v>673</v>
      </c>
      <c r="F14" s="60" t="s">
        <v>674</v>
      </c>
    </row>
    <row r="15" customFormat="false" ht="15" hidden="false" customHeight="false" outlineLevel="0" collapsed="false">
      <c r="A15" s="7"/>
      <c r="B15" s="8" t="s">
        <v>675</v>
      </c>
      <c r="C15" s="7"/>
      <c r="D15" s="7"/>
      <c r="E15" s="7"/>
      <c r="F15" s="7"/>
    </row>
    <row r="16" customFormat="false" ht="15" hidden="false" customHeight="false" outlineLevel="0" collapsed="false">
      <c r="A16" s="2" t="s">
        <v>676</v>
      </c>
      <c r="B16" s="5" t="s">
        <v>677</v>
      </c>
      <c r="C16" s="61" t="n">
        <f aca="false">Assumptions!$C$69</f>
        <v>0.05</v>
      </c>
      <c r="D16" s="61" t="n">
        <f aca="false">Assumptions!$C$70</f>
        <v>0.13</v>
      </c>
      <c r="E16" s="61" t="n">
        <f aca="false">Assumptions!$C$71</f>
        <v>0.18</v>
      </c>
      <c r="F16" s="61" t="n">
        <f aca="false">Assumptions!$C$72</f>
        <v>0.09</v>
      </c>
    </row>
    <row r="17" customFormat="false" ht="15" hidden="false" customHeight="false" outlineLevel="0" collapsed="false">
      <c r="A17" s="2" t="s">
        <v>678</v>
      </c>
      <c r="B17" s="5" t="s">
        <v>260</v>
      </c>
      <c r="C17" s="62" t="n">
        <f aca="false">Assumptions!$C$74</f>
        <v>1.25</v>
      </c>
      <c r="D17" s="62" t="n">
        <f aca="false">Assumptions!$C$75</f>
        <v>1.2</v>
      </c>
      <c r="E17" s="62" t="n">
        <f aca="false">Assumptions!$C$75</f>
        <v>1.2</v>
      </c>
      <c r="F17" s="63" t="n">
        <v>1.3</v>
      </c>
    </row>
    <row r="18" customFormat="false" ht="15" hidden="false" customHeight="false" outlineLevel="0" collapsed="false">
      <c r="A18" s="2" t="s">
        <v>679</v>
      </c>
      <c r="B18" s="3" t="s">
        <v>680</v>
      </c>
      <c r="C18" s="64" t="n">
        <f aca="false">C7/1000*Assumptions!$C$42</f>
        <v>19</v>
      </c>
      <c r="D18" s="64" t="n">
        <f aca="false">D7/1000*Assumptions!$C$42</f>
        <v>3.8</v>
      </c>
      <c r="E18" s="64" t="n">
        <f aca="false">E7/1000*Assumptions!$C$42</f>
        <v>7.22</v>
      </c>
      <c r="F18" s="64" t="n">
        <f aca="false">F7/1000*Assumptions!$C$42</f>
        <v>0.76</v>
      </c>
    </row>
    <row r="19" customFormat="false" ht="15" hidden="false" customHeight="false" outlineLevel="0" collapsed="false">
      <c r="A19" s="2" t="s">
        <v>681</v>
      </c>
      <c r="B19" s="5" t="s">
        <v>682</v>
      </c>
      <c r="C19" s="65" t="n">
        <f aca="false">C7*1000*C17*Assumptions!$C$53*Assumptions!$C$52*C16/1000000000</f>
        <v>0.191625</v>
      </c>
      <c r="D19" s="65" t="n">
        <f aca="false">D7*1000*D17*Assumptions!$C$53*Assumptions!$C$52*D16/1000000000</f>
        <v>0.0956592</v>
      </c>
      <c r="E19" s="65" t="n">
        <f aca="false">E7*1000*E17*Assumptions!$C$53*Assumptions!$C$52*E16/1000000000</f>
        <v>0.25165728</v>
      </c>
      <c r="F19" s="65" t="n">
        <f aca="false">F7*1000*F17*Assumptions!$C$53*Assumptions!$C$52*F16/1000000000</f>
        <v>0.01434888</v>
      </c>
    </row>
    <row r="20" customFormat="false" ht="15" hidden="false" customHeight="false" outlineLevel="0" collapsed="false">
      <c r="A20" s="2" t="s">
        <v>683</v>
      </c>
      <c r="B20" s="5" t="s">
        <v>684</v>
      </c>
      <c r="C20" s="65" t="n">
        <f aca="false">C7/1000*(Assumptions!$C$43-Assumptions!$C$45)</f>
        <v>0.155</v>
      </c>
      <c r="D20" s="65" t="n">
        <f aca="false">D7/1000*(Assumptions!$C$43-Assumptions!$C$45)</f>
        <v>0.031</v>
      </c>
      <c r="E20" s="65" t="n">
        <f aca="false">E7/1000*(Assumptions!$C$43-Assumptions!$C$45)</f>
        <v>0.0589</v>
      </c>
      <c r="F20" s="65" t="n">
        <f aca="false">F7/1000*(Assumptions!$C$43-Assumptions!$C$45)</f>
        <v>0.0062</v>
      </c>
    </row>
    <row r="21" customFormat="false" ht="15" hidden="false" customHeight="false" outlineLevel="0" collapsed="false">
      <c r="A21" s="2" t="s">
        <v>685</v>
      </c>
      <c r="B21" s="5" t="s">
        <v>686</v>
      </c>
      <c r="C21" s="65" t="n">
        <f aca="false">C18*Assumptions!$C$77</f>
        <v>0.475</v>
      </c>
      <c r="D21" s="65" t="n">
        <f aca="false">D18*0.005</f>
        <v>0.019</v>
      </c>
      <c r="E21" s="65" t="n">
        <f aca="false">E18*0.005</f>
        <v>0.0361</v>
      </c>
      <c r="F21" s="65" t="n">
        <f aca="false">F18*0.01</f>
        <v>0.0076</v>
      </c>
    </row>
    <row r="22" customFormat="false" ht="15" hidden="false" customHeight="false" outlineLevel="0" collapsed="false">
      <c r="A22" s="2" t="s">
        <v>687</v>
      </c>
      <c r="B22" s="5" t="s">
        <v>688</v>
      </c>
      <c r="C22" s="65" t="n">
        <f aca="false">C18*Assumptions!$C$9/Assumptions!$C$46+C18*(1-Assumptions!$C$9)/Assumptions!$C$47</f>
        <v>3.724</v>
      </c>
      <c r="D22" s="65" t="n">
        <f aca="false">D18*Assumptions!$C$9/Assumptions!$C$46+D18*(1-Assumptions!$C$9)/Assumptions!$C$47</f>
        <v>0.7448</v>
      </c>
      <c r="E22" s="65" t="n">
        <f aca="false">E18*Assumptions!$C$9/Assumptions!$C$46+E18*(1-Assumptions!$C$9)/Assumptions!$C$47</f>
        <v>1.41512</v>
      </c>
      <c r="F22" s="65" t="n">
        <f aca="false">F18*Assumptions!$C$9/Assumptions!$C$46+F18*(1-Assumptions!$C$9)/Assumptions!$C$47</f>
        <v>0.14896</v>
      </c>
    </row>
    <row r="23" customFormat="false" ht="15" hidden="false" customHeight="false" outlineLevel="0" collapsed="false">
      <c r="A23" s="37" t="s">
        <v>689</v>
      </c>
      <c r="B23" s="38" t="s">
        <v>690</v>
      </c>
      <c r="C23" s="66" t="n">
        <f aca="false">C22+C19+C20+C21</f>
        <v>4.545625</v>
      </c>
      <c r="D23" s="66" t="n">
        <f aca="false">D22+D19+D20+D21</f>
        <v>0.8904592</v>
      </c>
      <c r="E23" s="66" t="n">
        <f aca="false">E22+E19+E20+E21</f>
        <v>1.76177728</v>
      </c>
      <c r="F23" s="66" t="n">
        <f aca="false">F22+F19+F20+F21</f>
        <v>0.17710888</v>
      </c>
    </row>
    <row r="24" customFormat="false" ht="15" hidden="false" customHeight="false" outlineLevel="0" collapsed="false">
      <c r="A24" s="2" t="s">
        <v>691</v>
      </c>
      <c r="B24" s="5" t="s">
        <v>692</v>
      </c>
      <c r="C24" s="67" t="n">
        <v>0</v>
      </c>
      <c r="D24" s="67" t="n">
        <v>0.5</v>
      </c>
      <c r="E24" s="68" t="n">
        <f aca="false">Assumptions!$C$76</f>
        <v>1.5</v>
      </c>
      <c r="F24" s="67" t="n">
        <v>1</v>
      </c>
    </row>
    <row r="25" customFormat="false" ht="15" hidden="false" customHeight="false" outlineLevel="0" collapsed="false">
      <c r="A25" s="2" t="s">
        <v>693</v>
      </c>
      <c r="B25" s="5" t="s">
        <v>694</v>
      </c>
      <c r="C25" s="65" t="n">
        <f aca="false">C24*Assumptions!$C$55*10*C23</f>
        <v>0</v>
      </c>
      <c r="D25" s="65" t="n">
        <f aca="false">D24*Assumptions!$C$55*10*D23</f>
        <v>0.24487628</v>
      </c>
      <c r="E25" s="65" t="n">
        <f aca="false">E24*Assumptions!$C$55*10*E23</f>
        <v>1.453466256</v>
      </c>
      <c r="F25" s="65" t="n">
        <f aca="false">F24*Assumptions!$C$55*10*F23</f>
        <v>0.097409884</v>
      </c>
    </row>
    <row r="26" customFormat="false" ht="15" hidden="false" customHeight="false" outlineLevel="0" collapsed="false">
      <c r="A26" s="7"/>
      <c r="B26" s="8" t="s">
        <v>695</v>
      </c>
      <c r="C26" s="7"/>
      <c r="D26" s="7"/>
      <c r="E26" s="7"/>
      <c r="F26" s="7"/>
    </row>
    <row r="27" customFormat="false" ht="15" hidden="false" customHeight="false" outlineLevel="0" collapsed="false">
      <c r="A27" s="2" t="s">
        <v>696</v>
      </c>
      <c r="B27" s="5" t="s">
        <v>697</v>
      </c>
      <c r="C27" s="69" t="n">
        <v>0.8</v>
      </c>
      <c r="D27" s="70" t="n">
        <f aca="false">Assumptions!$C$52</f>
        <v>0.7</v>
      </c>
      <c r="E27" s="69" t="n">
        <v>0.6</v>
      </c>
      <c r="F27" s="69" t="n">
        <v>0.5</v>
      </c>
    </row>
    <row r="28" customFormat="false" ht="15" hidden="false" customHeight="false" outlineLevel="0" collapsed="false">
      <c r="A28" s="2" t="s">
        <v>698</v>
      </c>
      <c r="B28" s="5" t="s">
        <v>610</v>
      </c>
      <c r="C28" s="71" t="n">
        <f aca="false">C10*Assumptions!$C$53*C27</f>
        <v>1834821818.18182</v>
      </c>
      <c r="D28" s="71" t="n">
        <f aca="false">D10*Assumptions!$C$53*D27</f>
        <v>367920000</v>
      </c>
      <c r="E28" s="71" t="n">
        <f aca="false">E10*Assumptions!$C$53*E27</f>
        <v>599184000</v>
      </c>
      <c r="F28" s="71" t="n">
        <f aca="false">F10*Assumptions!$C$53*F27</f>
        <v>49006993.006993</v>
      </c>
    </row>
    <row r="29" customFormat="false" ht="15" hidden="false" customHeight="false" outlineLevel="0" collapsed="false">
      <c r="A29" s="37" t="s">
        <v>699</v>
      </c>
      <c r="B29" s="38" t="s">
        <v>700</v>
      </c>
      <c r="C29" s="66" t="n">
        <f aca="false">C23*1000000000/C28</f>
        <v>2.47742039851281</v>
      </c>
      <c r="D29" s="66" t="n">
        <f aca="false">D23*1000000000/D28</f>
        <v>2.42025222874538</v>
      </c>
      <c r="E29" s="66" t="n">
        <f aca="false">E23*1000000000/E28</f>
        <v>2.94029426686961</v>
      </c>
      <c r="F29" s="66" t="n">
        <f aca="false">F23*1000000000/F28</f>
        <v>3.61395117579909</v>
      </c>
    </row>
    <row r="30" customFormat="false" ht="15" hidden="false" customHeight="false" outlineLevel="0" collapsed="false">
      <c r="A30" s="2" t="s">
        <v>701</v>
      </c>
      <c r="B30" s="3" t="s">
        <v>702</v>
      </c>
      <c r="C30" s="64" t="n">
        <f aca="false">(C23+C18*Assumptions!$C$48)*1000000000/C28</f>
        <v>3.72004787187659</v>
      </c>
      <c r="D30" s="64" t="n">
        <f aca="false">(D23+D18*Assumptions!$C$48)*1000000000/D28</f>
        <v>3.65965209828224</v>
      </c>
      <c r="E30" s="64" t="n">
        <f aca="false">(E23+E18*Assumptions!$C$48)*1000000000/E28</f>
        <v>4.38626078132927</v>
      </c>
      <c r="F30" s="64" t="n">
        <f aca="false">(F23+F18*Assumptions!$C$48)*1000000000/F28</f>
        <v>5.47491007990868</v>
      </c>
    </row>
    <row r="31" customFormat="false" ht="15" hidden="false" customHeight="false" outlineLevel="0" collapsed="false">
      <c r="A31" s="2" t="s">
        <v>703</v>
      </c>
      <c r="B31" s="5" t="s">
        <v>704</v>
      </c>
      <c r="C31" s="72" t="n">
        <f aca="false">Assumptions!$C$57*0.6</f>
        <v>6.3</v>
      </c>
      <c r="D31" s="72" t="s">
        <v>705</v>
      </c>
      <c r="E31" s="73" t="n">
        <f aca="false">Assumptions!$C$81</f>
        <v>3.1</v>
      </c>
      <c r="F31" s="73" t="n">
        <f aca="false">Assumptions!$C$89</f>
        <v>1.7</v>
      </c>
    </row>
    <row r="32" customFormat="false" ht="15" hidden="false" customHeight="false" outlineLevel="0" collapsed="false">
      <c r="A32" s="2" t="s">
        <v>706</v>
      </c>
      <c r="B32" s="3" t="s">
        <v>707</v>
      </c>
      <c r="C32" s="64" t="n">
        <f aca="false">C31-C29</f>
        <v>3.82257960148719</v>
      </c>
      <c r="D32" s="64" t="s">
        <v>708</v>
      </c>
      <c r="E32" s="64" t="n">
        <f aca="false">E31-E29</f>
        <v>0.159705733130391</v>
      </c>
      <c r="F32" s="64" t="n">
        <f aca="false">F31-F29</f>
        <v>-1.91395117579909</v>
      </c>
    </row>
    <row r="33" customFormat="false" ht="15" hidden="false" customHeight="false" outlineLevel="0" collapsed="false">
      <c r="A33" s="37" t="s">
        <v>709</v>
      </c>
      <c r="B33" s="38" t="s">
        <v>710</v>
      </c>
      <c r="C33" s="74" t="n">
        <f aca="false">C32*C28/1000000</f>
        <v>7013.75245454546</v>
      </c>
      <c r="D33" s="74" t="s">
        <v>708</v>
      </c>
      <c r="E33" s="74" t="n">
        <f aca="false">E32*E28/1000000</f>
        <v>95.6931200000004</v>
      </c>
      <c r="F33" s="74" t="n">
        <f aca="false">F32*F28/1000000</f>
        <v>-93.7969918881119</v>
      </c>
    </row>
    <row r="34" customFormat="false" ht="79.85" hidden="false" customHeight="false" outlineLevel="0" collapsed="false">
      <c r="A34" s="2" t="s">
        <v>711</v>
      </c>
      <c r="B34" s="5" t="s">
        <v>712</v>
      </c>
      <c r="C34" s="60" t="s">
        <v>713</v>
      </c>
      <c r="D34" s="60" t="s">
        <v>714</v>
      </c>
      <c r="E34" s="60" t="s">
        <v>715</v>
      </c>
      <c r="F34" s="60" t="s">
        <v>716</v>
      </c>
    </row>
    <row r="35" customFormat="false" ht="15" hidden="false" customHeight="false" outlineLevel="0" collapsed="false">
      <c r="B35" s="2" t="s">
        <v>717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0"/>
    <col collapsed="false" customWidth="true" hidden="false" outlineLevel="0" max="3" min="3" style="0" width="16"/>
    <col collapsed="false" customWidth="true" hidden="false" outlineLevel="0" max="4" min="4" style="0" width="100"/>
  </cols>
  <sheetData>
    <row r="1" customFormat="false" ht="17.35" hidden="false" customHeight="false" outlineLevel="0" collapsed="false">
      <c r="A1" s="1" t="s">
        <v>718</v>
      </c>
    </row>
    <row r="2" customFormat="false" ht="15" hidden="false" customHeight="false" outlineLevel="0" collapsed="false">
      <c r="A2" s="2" t="s">
        <v>719</v>
      </c>
    </row>
    <row r="4" customFormat="false" ht="15" hidden="false" customHeight="false" outlineLevel="0" collapsed="false">
      <c r="A4" s="6" t="s">
        <v>458</v>
      </c>
      <c r="B4" s="6" t="s">
        <v>459</v>
      </c>
      <c r="C4" s="6" t="s">
        <v>219</v>
      </c>
      <c r="D4" s="6" t="s">
        <v>720</v>
      </c>
    </row>
    <row r="5" customFormat="false" ht="15" hidden="false" customHeight="false" outlineLevel="0" collapsed="false">
      <c r="A5" s="7"/>
      <c r="B5" s="8" t="s">
        <v>721</v>
      </c>
      <c r="C5" s="7"/>
      <c r="D5" s="7"/>
    </row>
    <row r="6" customFormat="false" ht="15" hidden="false" customHeight="false" outlineLevel="0" collapsed="false">
      <c r="A6" s="2" t="s">
        <v>722</v>
      </c>
      <c r="B6" s="3" t="s">
        <v>723</v>
      </c>
      <c r="C6" s="75" t="n">
        <f aca="false">GigawattTCO!$D$24</f>
        <v>2.47098554033486</v>
      </c>
      <c r="D6" s="34"/>
    </row>
    <row r="7" customFormat="false" ht="15" hidden="false" customHeight="false" outlineLevel="0" collapsed="false">
      <c r="A7" s="2" t="s">
        <v>724</v>
      </c>
      <c r="B7" s="5" t="s">
        <v>725</v>
      </c>
      <c r="C7" s="76" t="n">
        <f aca="false">GigawattTCO!$C$24</f>
        <v>2.35565222874538</v>
      </c>
      <c r="D7" s="34"/>
    </row>
    <row r="8" customFormat="false" ht="15" hidden="false" customHeight="false" outlineLevel="0" collapsed="false">
      <c r="A8" s="2" t="s">
        <v>726</v>
      </c>
      <c r="B8" s="5" t="s">
        <v>727</v>
      </c>
      <c r="C8" s="76" t="n">
        <f aca="false">GigawattTCO!$E$24</f>
        <v>2.42025222874538</v>
      </c>
      <c r="D8" s="34"/>
    </row>
    <row r="9" customFormat="false" ht="15" hidden="false" customHeight="false" outlineLevel="0" collapsed="false">
      <c r="A9" s="2" t="s">
        <v>728</v>
      </c>
      <c r="B9" s="5" t="s">
        <v>729</v>
      </c>
      <c r="C9" s="76" t="n">
        <f aca="false">GigawattTCO!$F$24</f>
        <v>2.52025222874538</v>
      </c>
      <c r="D9" s="34"/>
    </row>
    <row r="10" customFormat="false" ht="15" hidden="false" customHeight="false" outlineLevel="0" collapsed="false">
      <c r="A10" s="2" t="s">
        <v>730</v>
      </c>
      <c r="B10" s="5" t="s">
        <v>731</v>
      </c>
      <c r="C10" s="76" t="n">
        <f aca="false">GigawattTCO!$F$25</f>
        <v>2.72817303761687</v>
      </c>
      <c r="D10" s="34"/>
    </row>
    <row r="11" customFormat="false" ht="15" hidden="false" customHeight="false" outlineLevel="0" collapsed="false">
      <c r="A11" s="2" t="s">
        <v>732</v>
      </c>
      <c r="B11" s="3" t="s">
        <v>733</v>
      </c>
      <c r="C11" s="75" t="n">
        <f aca="false">GigawattTCO!$C$27</f>
        <v>3.59505209828224</v>
      </c>
      <c r="D11" s="34" t="s">
        <v>734</v>
      </c>
    </row>
    <row r="12" customFormat="false" ht="15" hidden="false" customHeight="false" outlineLevel="0" collapsed="false">
      <c r="A12" s="2" t="s">
        <v>735</v>
      </c>
      <c r="B12" s="5" t="s">
        <v>736</v>
      </c>
      <c r="C12" s="76" t="n">
        <f aca="false">GigawattTCO!$D$27</f>
        <v>3.71038540987171</v>
      </c>
      <c r="D12" s="34"/>
    </row>
    <row r="13" customFormat="false" ht="15" hidden="false" customHeight="false" outlineLevel="0" collapsed="false">
      <c r="A13" s="2" t="s">
        <v>737</v>
      </c>
      <c r="B13" s="5" t="s">
        <v>738</v>
      </c>
      <c r="C13" s="76" t="n">
        <f aca="false">GigawattTCO!$F$27</f>
        <v>3.75965209828224</v>
      </c>
      <c r="D13" s="34"/>
    </row>
    <row r="14" customFormat="false" ht="15" hidden="false" customHeight="false" outlineLevel="0" collapsed="false">
      <c r="A14" s="7"/>
      <c r="B14" s="8" t="s">
        <v>739</v>
      </c>
      <c r="C14" s="7"/>
      <c r="D14" s="7"/>
    </row>
    <row r="15" customFormat="false" ht="15" hidden="false" customHeight="false" outlineLevel="0" collapsed="false">
      <c r="A15" s="2" t="s">
        <v>740</v>
      </c>
      <c r="B15" s="5" t="s">
        <v>741</v>
      </c>
      <c r="C15" s="76" t="n">
        <f aca="false">Assumptions!$C$57</f>
        <v>10.5</v>
      </c>
      <c r="D15" s="34" t="s">
        <v>742</v>
      </c>
    </row>
    <row r="16" customFormat="false" ht="15" hidden="false" customHeight="false" outlineLevel="0" collapsed="false">
      <c r="A16" s="2" t="s">
        <v>743</v>
      </c>
      <c r="B16" s="5" t="s">
        <v>290</v>
      </c>
      <c r="C16" s="76" t="n">
        <f aca="false">Assumptions!$C$84</f>
        <v>8.5</v>
      </c>
      <c r="D16" s="34" t="s">
        <v>744</v>
      </c>
    </row>
    <row r="17" customFormat="false" ht="15" hidden="false" customHeight="false" outlineLevel="0" collapsed="false">
      <c r="A17" s="2" t="s">
        <v>745</v>
      </c>
      <c r="B17" s="5" t="s">
        <v>288</v>
      </c>
      <c r="C17" s="76" t="n">
        <f aca="false">Assumptions!$C$83</f>
        <v>6.11</v>
      </c>
      <c r="D17" s="34" t="s">
        <v>746</v>
      </c>
    </row>
    <row r="18" customFormat="false" ht="15" hidden="false" customHeight="false" outlineLevel="0" collapsed="false">
      <c r="A18" s="7"/>
      <c r="B18" s="8" t="s">
        <v>747</v>
      </c>
      <c r="C18" s="7"/>
      <c r="D18" s="7"/>
    </row>
    <row r="19" customFormat="false" ht="15" hidden="false" customHeight="false" outlineLevel="0" collapsed="false">
      <c r="A19" s="2" t="s">
        <v>748</v>
      </c>
      <c r="B19" s="5" t="s">
        <v>749</v>
      </c>
      <c r="C19" s="76" t="n">
        <f aca="false">Assumptions!$C$80</f>
        <v>15.98</v>
      </c>
      <c r="D19" s="34" t="s">
        <v>750</v>
      </c>
    </row>
    <row r="20" customFormat="false" ht="15" hidden="false" customHeight="false" outlineLevel="0" collapsed="false">
      <c r="A20" s="2" t="s">
        <v>751</v>
      </c>
      <c r="B20" s="5" t="s">
        <v>301</v>
      </c>
      <c r="C20" s="76" t="n">
        <f aca="false">Assumptions!$C$88</f>
        <v>12.3</v>
      </c>
      <c r="D20" s="34"/>
    </row>
    <row r="21" customFormat="false" ht="15" hidden="false" customHeight="false" outlineLevel="0" collapsed="false">
      <c r="A21" s="2" t="s">
        <v>752</v>
      </c>
      <c r="B21" s="5" t="s">
        <v>753</v>
      </c>
      <c r="C21" s="76" t="n">
        <f aca="false">Assumptions!$C$79</f>
        <v>7.36</v>
      </c>
      <c r="D21" s="34"/>
    </row>
    <row r="22" customFormat="false" ht="15" hidden="false" customHeight="false" outlineLevel="0" collapsed="false">
      <c r="A22" s="2" t="s">
        <v>754</v>
      </c>
      <c r="B22" s="5" t="s">
        <v>755</v>
      </c>
      <c r="C22" s="76" t="n">
        <f aca="false">Assumptions!$C$86</f>
        <v>6.16</v>
      </c>
      <c r="D22" s="34"/>
    </row>
    <row r="23" customFormat="false" ht="15" hidden="false" customHeight="false" outlineLevel="0" collapsed="false">
      <c r="A23" s="2" t="s">
        <v>756</v>
      </c>
      <c r="B23" s="5" t="s">
        <v>757</v>
      </c>
      <c r="C23" s="76" t="n">
        <f aca="false">Assumptions!$C$87</f>
        <v>6.07</v>
      </c>
      <c r="D23" s="34" t="s">
        <v>758</v>
      </c>
    </row>
    <row r="24" customFormat="false" ht="15" hidden="false" customHeight="false" outlineLevel="0" collapsed="false">
      <c r="A24" s="2" t="s">
        <v>759</v>
      </c>
      <c r="B24" s="5" t="s">
        <v>293</v>
      </c>
      <c r="C24" s="76" t="n">
        <f aca="false">Assumptions!$C$85</f>
        <v>4.5</v>
      </c>
      <c r="D24" s="34"/>
    </row>
    <row r="25" customFormat="false" ht="15" hidden="false" customHeight="false" outlineLevel="0" collapsed="false">
      <c r="A25" s="2" t="s">
        <v>760</v>
      </c>
      <c r="B25" s="5" t="s">
        <v>761</v>
      </c>
      <c r="C25" s="76" t="n">
        <f aca="false">Assumptions!$C$81</f>
        <v>3.1</v>
      </c>
      <c r="D25" s="34" t="s">
        <v>762</v>
      </c>
    </row>
    <row r="26" customFormat="false" ht="15" hidden="false" customHeight="false" outlineLevel="0" collapsed="false">
      <c r="A26" s="2" t="s">
        <v>763</v>
      </c>
      <c r="B26" s="5" t="s">
        <v>285</v>
      </c>
      <c r="C26" s="76" t="n">
        <f aca="false">Assumptions!$C$82</f>
        <v>2.99</v>
      </c>
      <c r="D26" s="34" t="s">
        <v>764</v>
      </c>
    </row>
    <row r="27" customFormat="false" ht="15" hidden="false" customHeight="false" outlineLevel="0" collapsed="false">
      <c r="A27" s="2" t="s">
        <v>765</v>
      </c>
      <c r="B27" s="5" t="s">
        <v>766</v>
      </c>
      <c r="C27" s="76" t="n">
        <f aca="false">Assumptions!$C$91</f>
        <v>2.7</v>
      </c>
      <c r="D27" s="34"/>
    </row>
    <row r="28" customFormat="false" ht="15" hidden="false" customHeight="false" outlineLevel="0" collapsed="false">
      <c r="A28" s="2" t="s">
        <v>767</v>
      </c>
      <c r="B28" s="3" t="s">
        <v>768</v>
      </c>
      <c r="C28" s="75" t="n">
        <f aca="false">Assumptions!$C$89</f>
        <v>1.7</v>
      </c>
      <c r="D28" s="34" t="s">
        <v>769</v>
      </c>
    </row>
    <row r="29" customFormat="false" ht="15" hidden="false" customHeight="false" outlineLevel="0" collapsed="false">
      <c r="A29" s="7"/>
      <c r="B29" s="8" t="s">
        <v>770</v>
      </c>
      <c r="C29" s="7"/>
      <c r="D29" s="7"/>
    </row>
    <row r="30" customFormat="false" ht="15" hidden="false" customHeight="false" outlineLevel="0" collapsed="false">
      <c r="A30" s="37" t="s">
        <v>771</v>
      </c>
      <c r="B30" s="38" t="s">
        <v>772</v>
      </c>
      <c r="C30" s="46" t="n">
        <f aca="false">C26/C19</f>
        <v>0.187108886107635</v>
      </c>
      <c r="D30" s="40" t="s">
        <v>773</v>
      </c>
    </row>
    <row r="31" customFormat="false" ht="15" hidden="false" customHeight="false" outlineLevel="0" collapsed="false">
      <c r="A31" s="2" t="s">
        <v>774</v>
      </c>
      <c r="B31" s="5" t="s">
        <v>775</v>
      </c>
      <c r="C31" s="77" t="n">
        <f aca="false">C20/C23</f>
        <v>2.02635914332784</v>
      </c>
      <c r="D31" s="34"/>
    </row>
    <row r="32" customFormat="false" ht="15" hidden="false" customHeight="false" outlineLevel="0" collapsed="false">
      <c r="A32" s="2" t="s">
        <v>776</v>
      </c>
      <c r="B32" s="5" t="s">
        <v>777</v>
      </c>
      <c r="C32" s="42" t="n">
        <f aca="false">Assumptions!$C$90-C28</f>
        <v>1.7</v>
      </c>
      <c r="D32" s="34" t="s">
        <v>778</v>
      </c>
    </row>
    <row r="33" customFormat="false" ht="15" hidden="false" customHeight="false" outlineLevel="0" collapsed="false">
      <c r="A33" s="37" t="s">
        <v>779</v>
      </c>
      <c r="B33" s="38" t="s">
        <v>780</v>
      </c>
      <c r="C33" s="52" t="n">
        <f aca="false">C7-C28</f>
        <v>0.65565222874538</v>
      </c>
      <c r="D33" s="40" t="s">
        <v>781</v>
      </c>
    </row>
    <row r="34" customFormat="false" ht="15" hidden="false" customHeight="false" outlineLevel="0" collapsed="false">
      <c r="A34" s="37" t="s">
        <v>782</v>
      </c>
      <c r="B34" s="38" t="s">
        <v>783</v>
      </c>
      <c r="C34" s="39" t="n">
        <f aca="false">C33*45000*Assumptions!$C$53*0.5/1000000</f>
        <v>129.229054285714</v>
      </c>
      <c r="D34" s="40" t="s">
        <v>784</v>
      </c>
    </row>
    <row r="35" customFormat="false" ht="15" hidden="false" customHeight="false" outlineLevel="0" collapsed="false">
      <c r="A35" s="37" t="s">
        <v>785</v>
      </c>
      <c r="B35" s="38" t="s">
        <v>786</v>
      </c>
      <c r="C35" s="46" t="n">
        <f aca="false">C6/C15</f>
        <v>0.235331956222367</v>
      </c>
      <c r="D35" s="40" t="s">
        <v>787</v>
      </c>
    </row>
    <row r="36" customFormat="false" ht="22.35" hidden="false" customHeight="false" outlineLevel="0" collapsed="false">
      <c r="A36" s="37" t="s">
        <v>788</v>
      </c>
      <c r="B36" s="38" t="s">
        <v>789</v>
      </c>
      <c r="C36" s="46" t="n">
        <f aca="false">C10/C25</f>
        <v>0.880055818586088</v>
      </c>
      <c r="D36" s="40" t="s">
        <v>790</v>
      </c>
    </row>
    <row r="37" customFormat="false" ht="15" hidden="false" customHeight="false" outlineLevel="0" collapsed="false">
      <c r="A37" s="37" t="s">
        <v>791</v>
      </c>
      <c r="B37" s="38" t="s">
        <v>792</v>
      </c>
      <c r="C37" s="46" t="n">
        <f aca="false">C13/C25</f>
        <v>1.21279099944588</v>
      </c>
      <c r="D37" s="40" t="s">
        <v>793</v>
      </c>
    </row>
    <row r="38" customFormat="false" ht="15" hidden="false" customHeight="false" outlineLevel="0" collapsed="false">
      <c r="A38" s="37" t="s">
        <v>794</v>
      </c>
      <c r="B38" s="38" t="s">
        <v>795</v>
      </c>
      <c r="C38" s="46" t="n">
        <f aca="false">C12/C15</f>
        <v>0.353370039035401</v>
      </c>
      <c r="D38" s="40" t="s">
        <v>796</v>
      </c>
    </row>
    <row r="39" customFormat="false" ht="15" hidden="false" customHeight="false" outlineLevel="0" collapsed="false">
      <c r="A39" s="7"/>
      <c r="B39" s="8" t="s">
        <v>797</v>
      </c>
      <c r="C39" s="7"/>
      <c r="D39" s="7"/>
    </row>
    <row r="40" customFormat="false" ht="15" hidden="false" customHeight="false" outlineLevel="0" collapsed="false">
      <c r="A40" s="2" t="s">
        <v>798</v>
      </c>
      <c r="B40" s="5" t="s">
        <v>799</v>
      </c>
      <c r="C40" s="78" t="n">
        <f aca="false">Assumptions!$C$93</f>
        <v>28571</v>
      </c>
      <c r="D40" s="34" t="s">
        <v>800</v>
      </c>
    </row>
    <row r="41" customFormat="false" ht="15" hidden="false" customHeight="false" outlineLevel="0" collapsed="false">
      <c r="A41" s="2" t="s">
        <v>801</v>
      </c>
      <c r="B41" s="5" t="s">
        <v>802</v>
      </c>
      <c r="C41" s="55" t="n">
        <f aca="false">C40*(1-Assumptions!$C$92)</f>
        <v>7142.75</v>
      </c>
      <c r="D41" s="34" t="s">
        <v>803</v>
      </c>
    </row>
    <row r="42" customFormat="false" ht="15" hidden="false" customHeight="false" outlineLevel="0" collapsed="false">
      <c r="A42" s="2" t="s">
        <v>804</v>
      </c>
      <c r="B42" s="5" t="s">
        <v>805</v>
      </c>
      <c r="C42" s="78" t="n">
        <f aca="false">GigawattTCO!$C$30</f>
        <v>63333.3333333333</v>
      </c>
      <c r="D42" s="34" t="s">
        <v>806</v>
      </c>
    </row>
    <row r="43" customFormat="false" ht="15" hidden="false" customHeight="false" outlineLevel="0" collapsed="false">
      <c r="A43" s="2" t="s">
        <v>807</v>
      </c>
      <c r="B43" s="5" t="s">
        <v>808</v>
      </c>
      <c r="C43" s="44" t="n">
        <f aca="false">C40/C42</f>
        <v>0.451121052631579</v>
      </c>
      <c r="D43" s="34" t="s">
        <v>809</v>
      </c>
    </row>
    <row r="44" customFormat="false" ht="32.8" hidden="false" customHeight="false" outlineLevel="0" collapsed="false">
      <c r="A44" s="2" t="s">
        <v>810</v>
      </c>
      <c r="B44" s="5" t="s">
        <v>712</v>
      </c>
      <c r="C44" s="79"/>
      <c r="D44" s="34" t="s">
        <v>811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72"/>
    <col collapsed="false" customWidth="true" hidden="false" outlineLevel="0" max="3" min="3" style="0" width="18"/>
    <col collapsed="false" customWidth="true" hidden="false" outlineLevel="0" max="4" min="4" style="0" width="100"/>
  </cols>
  <sheetData>
    <row r="1" customFormat="false" ht="17.35" hidden="false" customHeight="false" outlineLevel="0" collapsed="false">
      <c r="A1" s="1" t="s">
        <v>812</v>
      </c>
    </row>
    <row r="2" customFormat="false" ht="15" hidden="false" customHeight="false" outlineLevel="0" collapsed="false">
      <c r="A2" s="2" t="s">
        <v>813</v>
      </c>
    </row>
    <row r="4" customFormat="false" ht="15" hidden="false" customHeight="false" outlineLevel="0" collapsed="false">
      <c r="A4" s="6" t="s">
        <v>458</v>
      </c>
      <c r="B4" s="6" t="s">
        <v>459</v>
      </c>
      <c r="C4" s="6" t="s">
        <v>26</v>
      </c>
      <c r="D4" s="6" t="s">
        <v>561</v>
      </c>
    </row>
    <row r="5" customFormat="false" ht="15" hidden="false" customHeight="false" outlineLevel="0" collapsed="false">
      <c r="A5" s="7"/>
      <c r="B5" s="8" t="s">
        <v>814</v>
      </c>
      <c r="C5" s="7"/>
      <c r="D5" s="7"/>
    </row>
    <row r="6" customFormat="false" ht="15" hidden="false" customHeight="false" outlineLevel="0" collapsed="false">
      <c r="A6" s="2" t="s">
        <v>815</v>
      </c>
      <c r="B6" s="5" t="s">
        <v>816</v>
      </c>
      <c r="C6" s="35" t="n">
        <f aca="false">Assumptions!$C$96</f>
        <v>0.14</v>
      </c>
      <c r="D6" s="34" t="s">
        <v>817</v>
      </c>
    </row>
    <row r="7" customFormat="false" ht="15" hidden="false" customHeight="false" outlineLevel="0" collapsed="false">
      <c r="A7" s="2" t="s">
        <v>818</v>
      </c>
      <c r="B7" s="5" t="s">
        <v>819</v>
      </c>
      <c r="C7" s="35" t="n">
        <f aca="false">Assumptions!$C$109</f>
        <v>0.25</v>
      </c>
      <c r="D7" s="34" t="s">
        <v>820</v>
      </c>
    </row>
    <row r="8" customFormat="false" ht="15" hidden="false" customHeight="false" outlineLevel="0" collapsed="false">
      <c r="A8" s="2" t="s">
        <v>821</v>
      </c>
      <c r="B8" s="5" t="s">
        <v>822</v>
      </c>
      <c r="C8" s="36" t="n">
        <f aca="false">Assumptions!$C$104*1000*C6*C7</f>
        <v>38.5</v>
      </c>
      <c r="D8" s="34" t="s">
        <v>823</v>
      </c>
    </row>
    <row r="9" customFormat="false" ht="15" hidden="false" customHeight="false" outlineLevel="0" collapsed="false">
      <c r="A9" s="2" t="s">
        <v>824</v>
      </c>
      <c r="B9" s="5" t="s">
        <v>825</v>
      </c>
      <c r="C9" s="36" t="n">
        <f aca="false">1.9*Assumptions!$C$42</f>
        <v>72.2</v>
      </c>
      <c r="D9" s="34" t="s">
        <v>826</v>
      </c>
    </row>
    <row r="10" customFormat="false" ht="15" hidden="false" customHeight="false" outlineLevel="0" collapsed="false">
      <c r="A10" s="37" t="s">
        <v>827</v>
      </c>
      <c r="B10" s="38" t="s">
        <v>828</v>
      </c>
      <c r="C10" s="80" t="n">
        <f aca="false">C9/C8</f>
        <v>1.87532467532468</v>
      </c>
      <c r="D10" s="40" t="s">
        <v>829</v>
      </c>
    </row>
    <row r="11" customFormat="false" ht="15" hidden="false" customHeight="false" outlineLevel="0" collapsed="false">
      <c r="A11" s="2" t="s">
        <v>830</v>
      </c>
      <c r="B11" s="5" t="s">
        <v>831</v>
      </c>
      <c r="C11" s="36" t="n">
        <f aca="false">Assumptions!$C$106*1000*C6*C7</f>
        <v>665</v>
      </c>
      <c r="D11" s="34"/>
    </row>
    <row r="12" customFormat="false" ht="15" hidden="false" customHeight="false" outlineLevel="0" collapsed="false">
      <c r="A12" s="2" t="s">
        <v>832</v>
      </c>
      <c r="B12" s="5" t="s">
        <v>833</v>
      </c>
      <c r="C12" s="36" t="n">
        <f aca="false">1.7*Assumptions!$C$42</f>
        <v>64.6</v>
      </c>
      <c r="D12" s="34" t="s">
        <v>834</v>
      </c>
    </row>
    <row r="13" customFormat="false" ht="15" hidden="false" customHeight="false" outlineLevel="0" collapsed="false">
      <c r="A13" s="37" t="s">
        <v>835</v>
      </c>
      <c r="B13" s="38" t="s">
        <v>836</v>
      </c>
      <c r="C13" s="81" t="n">
        <f aca="false">C12/C11</f>
        <v>0.0971428571428571</v>
      </c>
      <c r="D13" s="40"/>
    </row>
    <row r="14" customFormat="false" ht="15" hidden="false" customHeight="false" outlineLevel="0" collapsed="false">
      <c r="A14" s="2" t="s">
        <v>837</v>
      </c>
      <c r="B14" s="5" t="s">
        <v>838</v>
      </c>
      <c r="C14" s="36" t="n">
        <f aca="false">Assumptions!$C$107*1000*C6*C7</f>
        <v>140</v>
      </c>
      <c r="D14" s="34"/>
    </row>
    <row r="15" customFormat="false" ht="15" hidden="false" customHeight="false" outlineLevel="0" collapsed="false">
      <c r="A15" s="2" t="s">
        <v>839</v>
      </c>
      <c r="B15" s="5" t="s">
        <v>840</v>
      </c>
      <c r="C15" s="36" t="n">
        <f aca="false">0.09*Assumptions!$C$42</f>
        <v>3.42</v>
      </c>
      <c r="D15" s="34" t="s">
        <v>841</v>
      </c>
    </row>
    <row r="16" customFormat="false" ht="15" hidden="false" customHeight="false" outlineLevel="0" collapsed="false">
      <c r="A16" s="37" t="s">
        <v>842</v>
      </c>
      <c r="B16" s="38" t="s">
        <v>836</v>
      </c>
      <c r="C16" s="81" t="n">
        <f aca="false">C15/C14</f>
        <v>0.0244285714285714</v>
      </c>
      <c r="D16" s="40" t="s">
        <v>843</v>
      </c>
    </row>
    <row r="17" customFormat="false" ht="15" hidden="false" customHeight="false" outlineLevel="0" collapsed="false">
      <c r="A17" s="2" t="s">
        <v>844</v>
      </c>
      <c r="B17" s="5" t="s">
        <v>845</v>
      </c>
      <c r="C17" s="36" t="n">
        <f aca="false">Assumptions!$C$108*1000*C6*C7</f>
        <v>18.55</v>
      </c>
      <c r="D17" s="34"/>
    </row>
    <row r="18" customFormat="false" ht="15" hidden="false" customHeight="false" outlineLevel="0" collapsed="false">
      <c r="A18" s="2" t="s">
        <v>846</v>
      </c>
      <c r="B18" s="5" t="s">
        <v>847</v>
      </c>
      <c r="C18" s="36" t="n">
        <f aca="false">2*Assumptions!$C$42</f>
        <v>76</v>
      </c>
      <c r="D18" s="34" t="s">
        <v>848</v>
      </c>
    </row>
    <row r="19" customFormat="false" ht="15" hidden="false" customHeight="false" outlineLevel="0" collapsed="false">
      <c r="A19" s="37" t="s">
        <v>849</v>
      </c>
      <c r="B19" s="38" t="s">
        <v>836</v>
      </c>
      <c r="C19" s="80" t="n">
        <f aca="false">C18/C17</f>
        <v>4.09703504043127</v>
      </c>
      <c r="D19" s="40"/>
    </row>
    <row r="20" customFormat="false" ht="15" hidden="false" customHeight="false" outlineLevel="0" collapsed="false">
      <c r="A20" s="7"/>
      <c r="B20" s="8" t="s">
        <v>850</v>
      </c>
      <c r="C20" s="7"/>
      <c r="D20" s="7"/>
    </row>
    <row r="21" customFormat="false" ht="15" hidden="false" customHeight="false" outlineLevel="0" collapsed="false">
      <c r="A21" s="2" t="s">
        <v>851</v>
      </c>
      <c r="B21" s="3" t="s">
        <v>852</v>
      </c>
      <c r="C21" s="82" t="n">
        <f aca="false">Assumptions!$C$98/Assumptions!$C$99</f>
        <v>41</v>
      </c>
      <c r="D21" s="34" t="s">
        <v>853</v>
      </c>
    </row>
    <row r="22" customFormat="false" ht="15" hidden="false" customHeight="false" outlineLevel="0" collapsed="false">
      <c r="A22" s="2" t="s">
        <v>854</v>
      </c>
      <c r="B22" s="3" t="s">
        <v>855</v>
      </c>
      <c r="C22" s="75" t="n">
        <f aca="false">Assumptions!$C$100</f>
        <v>1.7</v>
      </c>
      <c r="D22" s="34" t="s">
        <v>856</v>
      </c>
    </row>
    <row r="23" customFormat="false" ht="15" hidden="false" customHeight="false" outlineLevel="0" collapsed="false">
      <c r="A23" s="37" t="s">
        <v>857</v>
      </c>
      <c r="B23" s="38" t="s">
        <v>858</v>
      </c>
      <c r="C23" s="46" t="n">
        <f aca="false">Assumptions!$C$102/Assumptions!$C$101</f>
        <v>0.423529411764706</v>
      </c>
      <c r="D23" s="40" t="s">
        <v>859</v>
      </c>
    </row>
    <row r="24" customFormat="false" ht="15" hidden="false" customHeight="false" outlineLevel="0" collapsed="false">
      <c r="A24" s="2" t="s">
        <v>860</v>
      </c>
      <c r="B24" s="5" t="s">
        <v>861</v>
      </c>
      <c r="C24" s="33" t="n">
        <f aca="false">Assumptions!$C$103</f>
        <v>3.5</v>
      </c>
      <c r="D24" s="34" t="s">
        <v>862</v>
      </c>
    </row>
    <row r="25" customFormat="false" ht="15" hidden="false" customHeight="false" outlineLevel="0" collapsed="false">
      <c r="A25" s="7"/>
      <c r="B25" s="8" t="s">
        <v>863</v>
      </c>
      <c r="C25" s="7"/>
      <c r="D25" s="7"/>
    </row>
    <row r="26" customFormat="false" ht="15" hidden="false" customHeight="false" outlineLevel="0" collapsed="false">
      <c r="A26" s="2" t="s">
        <v>864</v>
      </c>
      <c r="B26" s="5" t="s">
        <v>865</v>
      </c>
      <c r="C26" s="76" t="n">
        <f aca="false">GigawattTCO!$D$17</f>
        <v>9.09125</v>
      </c>
      <c r="D26" s="34"/>
    </row>
    <row r="27" customFormat="false" ht="15" hidden="false" customHeight="false" outlineLevel="0" collapsed="false">
      <c r="A27" s="2" t="s">
        <v>866</v>
      </c>
      <c r="B27" s="5" t="s">
        <v>867</v>
      </c>
      <c r="C27" s="42" t="n">
        <f aca="false">Assumptions!$C$57*0.6*GigawattTCO!$C$22*Assumptions!$C$53*0.8/1000000000</f>
        <v>26.49024</v>
      </c>
      <c r="D27" s="34" t="s">
        <v>868</v>
      </c>
    </row>
    <row r="28" customFormat="false" ht="15" hidden="false" customHeight="false" outlineLevel="0" collapsed="false">
      <c r="A28" s="37" t="s">
        <v>869</v>
      </c>
      <c r="B28" s="38" t="s">
        <v>870</v>
      </c>
      <c r="C28" s="46" t="n">
        <f aca="false">(C27-C26)/C27</f>
        <v>0.656807563842381</v>
      </c>
      <c r="D28" s="40" t="s">
        <v>871</v>
      </c>
    </row>
    <row r="29" customFormat="false" ht="15" hidden="false" customHeight="false" outlineLevel="0" collapsed="false">
      <c r="A29" s="37" t="s">
        <v>872</v>
      </c>
      <c r="B29" s="38" t="s">
        <v>873</v>
      </c>
      <c r="C29" s="46" t="n">
        <f aca="false">(C27-C26-Assumptions!$C$42*Assumptions!$C$48)/C27</f>
        <v>0.484668693073373</v>
      </c>
      <c r="D29" s="40" t="s">
        <v>874</v>
      </c>
    </row>
    <row r="30" customFormat="false" ht="15" hidden="false" customHeight="false" outlineLevel="0" collapsed="false">
      <c r="A30" s="2" t="s">
        <v>875</v>
      </c>
      <c r="B30" s="5" t="s">
        <v>876</v>
      </c>
      <c r="C30" s="76" t="n">
        <f aca="false">GigawattTCO!$F$17</f>
        <v>9.272512</v>
      </c>
      <c r="D30" s="34"/>
    </row>
    <row r="31" customFormat="false" ht="15" hidden="false" customHeight="false" outlineLevel="0" collapsed="false">
      <c r="A31" s="2" t="s">
        <v>877</v>
      </c>
      <c r="B31" s="5" t="s">
        <v>878</v>
      </c>
      <c r="C31" s="42" t="n">
        <f aca="false">Assumptions!$C$81*GigawattTCO!$C$22*Assumptions!$C$53*0.6/1000000000</f>
        <v>9.77616</v>
      </c>
      <c r="D31" s="34" t="s">
        <v>879</v>
      </c>
    </row>
    <row r="32" customFormat="false" ht="22.35" hidden="false" customHeight="false" outlineLevel="0" collapsed="false">
      <c r="A32" s="37" t="s">
        <v>880</v>
      </c>
      <c r="B32" s="38" t="s">
        <v>870</v>
      </c>
      <c r="C32" s="46" t="n">
        <f aca="false">(C31-C30)/C31</f>
        <v>0.0515179784291583</v>
      </c>
      <c r="D32" s="40" t="s">
        <v>881</v>
      </c>
    </row>
    <row r="33" customFormat="false" ht="22.35" hidden="false" customHeight="false" outlineLevel="0" collapsed="false">
      <c r="A33" s="37" t="s">
        <v>882</v>
      </c>
      <c r="B33" s="38" t="s">
        <v>883</v>
      </c>
      <c r="C33" s="46" t="n">
        <f aca="false">(C31-C30-Assumptions!$C$42*Assumptions!$C$48)/C31</f>
        <v>-0.414922832686863</v>
      </c>
      <c r="D33" s="40" t="s">
        <v>884</v>
      </c>
    </row>
    <row r="34" customFormat="false" ht="15" hidden="false" customHeight="false" outlineLevel="0" collapsed="false">
      <c r="A34" s="2" t="s">
        <v>885</v>
      </c>
      <c r="B34" s="3" t="s">
        <v>886</v>
      </c>
      <c r="C34" s="54" t="n">
        <f aca="false">(C30+Assumptions!$C$42*Assumptions!$C$48)*1000000000/(GigawattTCO!$C$22*Assumptions!$C$53*0.6)</f>
        <v>4.38626078132928</v>
      </c>
      <c r="D34" s="34" t="s">
        <v>887</v>
      </c>
    </row>
    <row r="35" customFormat="false" ht="15" hidden="false" customHeight="false" outlineLevel="0" collapsed="false">
      <c r="A35" s="7"/>
      <c r="B35" s="8" t="s">
        <v>888</v>
      </c>
      <c r="C35" s="7"/>
      <c r="D35" s="7"/>
    </row>
    <row r="36" customFormat="false" ht="43.25" hidden="false" customHeight="false" outlineLevel="0" collapsed="false">
      <c r="A36" s="2" t="s">
        <v>889</v>
      </c>
      <c r="B36" s="5" t="s">
        <v>712</v>
      </c>
      <c r="C36" s="79"/>
      <c r="D36" s="34" t="s">
        <v>890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2"/>
    <col collapsed="false" customWidth="true" hidden="false" outlineLevel="0" max="3" min="3" style="0" width="16"/>
    <col collapsed="false" customWidth="true" hidden="false" outlineLevel="0" max="4" min="4" style="0" width="110"/>
  </cols>
  <sheetData>
    <row r="1" customFormat="false" ht="17.35" hidden="false" customHeight="false" outlineLevel="0" collapsed="false">
      <c r="A1" s="1" t="s">
        <v>28</v>
      </c>
    </row>
    <row r="2" customFormat="false" ht="15" hidden="false" customHeight="false" outlineLevel="0" collapsed="false">
      <c r="A2" s="2" t="s">
        <v>891</v>
      </c>
    </row>
    <row r="4" customFormat="false" ht="15" hidden="false" customHeight="false" outlineLevel="0" collapsed="false">
      <c r="A4" s="6" t="s">
        <v>892</v>
      </c>
      <c r="B4" s="6" t="s">
        <v>38</v>
      </c>
      <c r="C4" s="6" t="s">
        <v>893</v>
      </c>
      <c r="D4" s="6" t="s">
        <v>894</v>
      </c>
    </row>
    <row r="5" customFormat="false" ht="15" hidden="false" customHeight="false" outlineLevel="0" collapsed="false">
      <c r="A5" s="5" t="n">
        <v>1</v>
      </c>
      <c r="B5" s="5" t="s">
        <v>895</v>
      </c>
      <c r="C5" s="5" t="s">
        <v>342</v>
      </c>
      <c r="D5" s="83" t="s">
        <v>896</v>
      </c>
    </row>
    <row r="6" customFormat="false" ht="15" hidden="false" customHeight="false" outlineLevel="0" collapsed="false">
      <c r="A6" s="5" t="n">
        <v>2</v>
      </c>
      <c r="B6" s="5" t="s">
        <v>897</v>
      </c>
      <c r="C6" s="5" t="s">
        <v>87</v>
      </c>
      <c r="D6" s="83" t="s">
        <v>898</v>
      </c>
    </row>
    <row r="7" customFormat="false" ht="15" hidden="false" customHeight="false" outlineLevel="0" collapsed="false">
      <c r="A7" s="5" t="n">
        <v>3</v>
      </c>
      <c r="B7" s="5" t="s">
        <v>899</v>
      </c>
      <c r="C7" s="5" t="s">
        <v>52</v>
      </c>
      <c r="D7" s="83" t="s">
        <v>900</v>
      </c>
    </row>
    <row r="8" customFormat="false" ht="15" hidden="false" customHeight="false" outlineLevel="0" collapsed="false">
      <c r="A8" s="5" t="n">
        <v>4</v>
      </c>
      <c r="B8" s="5" t="s">
        <v>901</v>
      </c>
      <c r="C8" s="5" t="s">
        <v>902</v>
      </c>
      <c r="D8" s="83" t="s">
        <v>903</v>
      </c>
    </row>
    <row r="9" customFormat="false" ht="15" hidden="false" customHeight="false" outlineLevel="0" collapsed="false">
      <c r="A9" s="5" t="n">
        <v>5</v>
      </c>
      <c r="B9" s="5" t="s">
        <v>904</v>
      </c>
      <c r="C9" s="5" t="s">
        <v>905</v>
      </c>
      <c r="D9" s="83" t="s">
        <v>906</v>
      </c>
    </row>
    <row r="10" customFormat="false" ht="15" hidden="false" customHeight="false" outlineLevel="0" collapsed="false">
      <c r="A10" s="5" t="n">
        <v>6</v>
      </c>
      <c r="B10" s="5" t="s">
        <v>907</v>
      </c>
      <c r="C10" s="5" t="s">
        <v>908</v>
      </c>
      <c r="D10" s="83" t="s">
        <v>909</v>
      </c>
    </row>
    <row r="11" customFormat="false" ht="15" hidden="false" customHeight="false" outlineLevel="0" collapsed="false">
      <c r="A11" s="5" t="n">
        <v>7</v>
      </c>
      <c r="B11" s="5" t="s">
        <v>910</v>
      </c>
      <c r="C11" s="5" t="s">
        <v>908</v>
      </c>
      <c r="D11" s="83" t="s">
        <v>911</v>
      </c>
    </row>
    <row r="12" customFormat="false" ht="15" hidden="false" customHeight="false" outlineLevel="0" collapsed="false">
      <c r="A12" s="5" t="n">
        <v>8</v>
      </c>
      <c r="B12" s="5" t="s">
        <v>912</v>
      </c>
      <c r="C12" s="5" t="s">
        <v>913</v>
      </c>
      <c r="D12" s="83" t="s">
        <v>914</v>
      </c>
    </row>
    <row r="13" customFormat="false" ht="15" hidden="false" customHeight="false" outlineLevel="0" collapsed="false">
      <c r="A13" s="5" t="n">
        <v>9</v>
      </c>
      <c r="B13" s="5" t="s">
        <v>915</v>
      </c>
      <c r="C13" s="5" t="s">
        <v>913</v>
      </c>
      <c r="D13" s="83" t="s">
        <v>916</v>
      </c>
    </row>
    <row r="14" customFormat="false" ht="15" hidden="false" customHeight="false" outlineLevel="0" collapsed="false">
      <c r="A14" s="5" t="n">
        <v>10</v>
      </c>
      <c r="B14" s="5" t="s">
        <v>917</v>
      </c>
      <c r="C14" s="5" t="s">
        <v>918</v>
      </c>
      <c r="D14" s="83" t="s">
        <v>919</v>
      </c>
    </row>
    <row r="15" customFormat="false" ht="15" hidden="false" customHeight="false" outlineLevel="0" collapsed="false">
      <c r="A15" s="5" t="n">
        <v>11</v>
      </c>
      <c r="B15" s="5" t="s">
        <v>920</v>
      </c>
      <c r="C15" s="5" t="s">
        <v>93</v>
      </c>
      <c r="D15" s="83" t="s">
        <v>921</v>
      </c>
    </row>
    <row r="16" customFormat="false" ht="15" hidden="false" customHeight="false" outlineLevel="0" collapsed="false">
      <c r="A16" s="5" t="n">
        <v>12</v>
      </c>
      <c r="B16" s="5" t="s">
        <v>922</v>
      </c>
      <c r="C16" s="5" t="s">
        <v>151</v>
      </c>
      <c r="D16" s="83" t="s">
        <v>923</v>
      </c>
    </row>
    <row r="17" customFormat="false" ht="15" hidden="false" customHeight="false" outlineLevel="0" collapsed="false">
      <c r="A17" s="5" t="n">
        <v>13</v>
      </c>
      <c r="B17" s="5" t="s">
        <v>924</v>
      </c>
      <c r="C17" s="5" t="s">
        <v>108</v>
      </c>
      <c r="D17" s="83" t="s">
        <v>925</v>
      </c>
    </row>
    <row r="18" customFormat="false" ht="15" hidden="false" customHeight="false" outlineLevel="0" collapsed="false">
      <c r="A18" s="5" t="n">
        <v>14</v>
      </c>
      <c r="B18" s="5" t="s">
        <v>926</v>
      </c>
      <c r="C18" s="5" t="s">
        <v>927</v>
      </c>
      <c r="D18" s="83" t="s">
        <v>928</v>
      </c>
    </row>
    <row r="19" customFormat="false" ht="15" hidden="false" customHeight="false" outlineLevel="0" collapsed="false">
      <c r="A19" s="5" t="n">
        <v>15</v>
      </c>
      <c r="B19" s="5" t="s">
        <v>929</v>
      </c>
      <c r="C19" s="5" t="s">
        <v>930</v>
      </c>
      <c r="D19" s="83" t="s">
        <v>931</v>
      </c>
    </row>
    <row r="20" customFormat="false" ht="15" hidden="false" customHeight="false" outlineLevel="0" collapsed="false">
      <c r="A20" s="5" t="n">
        <v>16</v>
      </c>
      <c r="B20" s="5" t="s">
        <v>932</v>
      </c>
      <c r="C20" s="5" t="s">
        <v>933</v>
      </c>
      <c r="D20" s="83" t="s">
        <v>934</v>
      </c>
    </row>
    <row r="21" customFormat="false" ht="15" hidden="false" customHeight="false" outlineLevel="0" collapsed="false">
      <c r="A21" s="5" t="n">
        <v>17</v>
      </c>
      <c r="B21" s="5" t="s">
        <v>935</v>
      </c>
      <c r="C21" s="5" t="s">
        <v>120</v>
      </c>
      <c r="D21" s="83" t="s">
        <v>936</v>
      </c>
    </row>
    <row r="22" customFormat="false" ht="15" hidden="false" customHeight="false" outlineLevel="0" collapsed="false">
      <c r="A22" s="5" t="n">
        <v>18</v>
      </c>
      <c r="B22" s="5" t="s">
        <v>937</v>
      </c>
      <c r="C22" s="5" t="s">
        <v>87</v>
      </c>
      <c r="D22" s="83" t="s">
        <v>938</v>
      </c>
    </row>
    <row r="23" customFormat="false" ht="15" hidden="false" customHeight="false" outlineLevel="0" collapsed="false">
      <c r="A23" s="5" t="n">
        <v>19</v>
      </c>
      <c r="B23" s="5" t="s">
        <v>939</v>
      </c>
      <c r="C23" s="5" t="s">
        <v>52</v>
      </c>
      <c r="D23" s="83" t="s">
        <v>940</v>
      </c>
    </row>
    <row r="24" customFormat="false" ht="15" hidden="false" customHeight="false" outlineLevel="0" collapsed="false">
      <c r="A24" s="5" t="n">
        <v>20</v>
      </c>
      <c r="B24" s="5" t="s">
        <v>941</v>
      </c>
      <c r="C24" s="5" t="s">
        <v>942</v>
      </c>
      <c r="D24" s="83" t="s">
        <v>943</v>
      </c>
    </row>
    <row r="25" customFormat="false" ht="15" hidden="false" customHeight="false" outlineLevel="0" collapsed="false">
      <c r="A25" s="5" t="n">
        <v>21</v>
      </c>
      <c r="B25" s="5" t="s">
        <v>944</v>
      </c>
      <c r="C25" s="5" t="s">
        <v>52</v>
      </c>
      <c r="D25" s="83" t="s">
        <v>945</v>
      </c>
    </row>
    <row r="26" customFormat="false" ht="15" hidden="false" customHeight="false" outlineLevel="0" collapsed="false">
      <c r="A26" s="5" t="n">
        <v>22</v>
      </c>
      <c r="B26" s="5" t="s">
        <v>946</v>
      </c>
      <c r="C26" s="5" t="s">
        <v>335</v>
      </c>
      <c r="D26" s="83" t="s">
        <v>947</v>
      </c>
    </row>
    <row r="27" customFormat="false" ht="15" hidden="false" customHeight="false" outlineLevel="0" collapsed="false">
      <c r="A27" s="5" t="n">
        <v>23</v>
      </c>
      <c r="B27" s="5" t="s">
        <v>948</v>
      </c>
      <c r="C27" s="5" t="s">
        <v>60</v>
      </c>
      <c r="D27" s="83" t="s">
        <v>949</v>
      </c>
    </row>
    <row r="28" customFormat="false" ht="15" hidden="false" customHeight="false" outlineLevel="0" collapsed="false">
      <c r="A28" s="5" t="n">
        <v>24</v>
      </c>
      <c r="B28" s="5" t="s">
        <v>950</v>
      </c>
      <c r="C28" s="5" t="s">
        <v>52</v>
      </c>
      <c r="D28" s="83" t="s">
        <v>951</v>
      </c>
    </row>
    <row r="29" customFormat="false" ht="15" hidden="false" customHeight="false" outlineLevel="0" collapsed="false">
      <c r="A29" s="5" t="n">
        <v>25</v>
      </c>
      <c r="B29" s="5" t="s">
        <v>952</v>
      </c>
      <c r="C29" s="5" t="s">
        <v>52</v>
      </c>
      <c r="D29" s="83" t="s">
        <v>953</v>
      </c>
    </row>
    <row r="30" customFormat="false" ht="15" hidden="false" customHeight="false" outlineLevel="0" collapsed="false">
      <c r="A30" s="5" t="n">
        <v>26</v>
      </c>
      <c r="B30" s="5" t="s">
        <v>954</v>
      </c>
      <c r="C30" s="5" t="s">
        <v>52</v>
      </c>
      <c r="D30" s="83" t="s">
        <v>955</v>
      </c>
    </row>
    <row r="31" customFormat="false" ht="15" hidden="false" customHeight="false" outlineLevel="0" collapsed="false">
      <c r="A31" s="5" t="n">
        <v>27</v>
      </c>
      <c r="B31" s="5" t="s">
        <v>956</v>
      </c>
      <c r="C31" s="5" t="s">
        <v>79</v>
      </c>
      <c r="D31" s="83" t="s">
        <v>957</v>
      </c>
    </row>
    <row r="32" customFormat="false" ht="15" hidden="false" customHeight="false" outlineLevel="0" collapsed="false">
      <c r="A32" s="5" t="n">
        <v>28</v>
      </c>
      <c r="B32" s="5" t="s">
        <v>958</v>
      </c>
      <c r="C32" s="5" t="s">
        <v>83</v>
      </c>
      <c r="D32" s="83" t="s">
        <v>959</v>
      </c>
    </row>
    <row r="33" customFormat="false" ht="15" hidden="false" customHeight="false" outlineLevel="0" collapsed="false">
      <c r="A33" s="5" t="n">
        <v>29</v>
      </c>
      <c r="B33" s="5" t="s">
        <v>960</v>
      </c>
      <c r="C33" s="5" t="s">
        <v>961</v>
      </c>
      <c r="D33" s="83" t="s">
        <v>962</v>
      </c>
    </row>
    <row r="34" customFormat="false" ht="15" hidden="false" customHeight="false" outlineLevel="0" collapsed="false">
      <c r="A34" s="5" t="n">
        <v>30</v>
      </c>
      <c r="B34" s="5" t="s">
        <v>963</v>
      </c>
      <c r="C34" s="5" t="s">
        <v>56</v>
      </c>
      <c r="D34" s="83" t="s">
        <v>964</v>
      </c>
    </row>
    <row r="35" customFormat="false" ht="15" hidden="false" customHeight="false" outlineLevel="0" collapsed="false">
      <c r="A35" s="5" t="n">
        <v>31</v>
      </c>
      <c r="B35" s="5" t="s">
        <v>965</v>
      </c>
      <c r="C35" s="5" t="s">
        <v>52</v>
      </c>
      <c r="D35" s="83" t="s">
        <v>966</v>
      </c>
    </row>
    <row r="36" customFormat="false" ht="15" hidden="false" customHeight="false" outlineLevel="0" collapsed="false">
      <c r="A36" s="5" t="n">
        <v>32</v>
      </c>
      <c r="B36" s="5" t="s">
        <v>967</v>
      </c>
      <c r="C36" s="5" t="s">
        <v>52</v>
      </c>
      <c r="D36" s="83" t="s">
        <v>968</v>
      </c>
    </row>
    <row r="37" customFormat="false" ht="15" hidden="false" customHeight="false" outlineLevel="0" collapsed="false">
      <c r="A37" s="5" t="n">
        <v>33</v>
      </c>
      <c r="B37" s="5" t="s">
        <v>969</v>
      </c>
      <c r="C37" s="5" t="s">
        <v>970</v>
      </c>
      <c r="D37" s="83" t="s">
        <v>971</v>
      </c>
    </row>
    <row r="38" customFormat="false" ht="15" hidden="false" customHeight="false" outlineLevel="0" collapsed="false">
      <c r="A38" s="5" t="n">
        <v>34</v>
      </c>
      <c r="B38" s="5" t="s">
        <v>972</v>
      </c>
      <c r="C38" s="5" t="s">
        <v>87</v>
      </c>
      <c r="D38" s="83" t="s">
        <v>973</v>
      </c>
    </row>
    <row r="39" customFormat="false" ht="15" hidden="false" customHeight="false" outlineLevel="0" collapsed="false">
      <c r="A39" s="5" t="n">
        <v>35</v>
      </c>
      <c r="B39" s="5" t="s">
        <v>974</v>
      </c>
      <c r="C39" s="5" t="s">
        <v>83</v>
      </c>
      <c r="D39" s="83" t="s">
        <v>975</v>
      </c>
    </row>
    <row r="40" customFormat="false" ht="15" hidden="false" customHeight="false" outlineLevel="0" collapsed="false">
      <c r="A40" s="5" t="n">
        <v>36</v>
      </c>
      <c r="B40" s="5" t="s">
        <v>976</v>
      </c>
      <c r="C40" s="5" t="s">
        <v>115</v>
      </c>
      <c r="D40" s="83" t="s">
        <v>977</v>
      </c>
    </row>
    <row r="41" customFormat="false" ht="15" hidden="false" customHeight="false" outlineLevel="0" collapsed="false">
      <c r="A41" s="5" t="n">
        <v>37</v>
      </c>
      <c r="B41" s="5" t="s">
        <v>978</v>
      </c>
      <c r="C41" s="5" t="s">
        <v>314</v>
      </c>
      <c r="D41" s="83" t="s">
        <v>979</v>
      </c>
    </row>
    <row r="42" customFormat="false" ht="15" hidden="false" customHeight="false" outlineLevel="0" collapsed="false">
      <c r="A42" s="5" t="n">
        <v>38</v>
      </c>
      <c r="B42" s="5" t="s">
        <v>980</v>
      </c>
      <c r="C42" s="5" t="s">
        <v>93</v>
      </c>
      <c r="D42" s="83" t="s">
        <v>981</v>
      </c>
    </row>
    <row r="43" customFormat="false" ht="15" hidden="false" customHeight="false" outlineLevel="0" collapsed="false">
      <c r="A43" s="5" t="n">
        <v>39</v>
      </c>
      <c r="B43" s="5" t="s">
        <v>982</v>
      </c>
      <c r="C43" s="5" t="s">
        <v>325</v>
      </c>
      <c r="D43" s="83" t="s">
        <v>983</v>
      </c>
    </row>
    <row r="44" customFormat="false" ht="15" hidden="false" customHeight="false" outlineLevel="0" collapsed="false">
      <c r="A44" s="5" t="n">
        <v>40</v>
      </c>
      <c r="B44" s="5" t="s">
        <v>984</v>
      </c>
      <c r="C44" s="5" t="s">
        <v>331</v>
      </c>
      <c r="D44" s="83" t="s">
        <v>985</v>
      </c>
    </row>
    <row r="45" customFormat="false" ht="15" hidden="false" customHeight="false" outlineLevel="0" collapsed="false">
      <c r="A45" s="5" t="n">
        <v>41</v>
      </c>
      <c r="B45" s="5" t="s">
        <v>986</v>
      </c>
      <c r="C45" s="5" t="s">
        <v>970</v>
      </c>
      <c r="D45" s="83" t="s">
        <v>987</v>
      </c>
    </row>
    <row r="46" customFormat="false" ht="15" hidden="false" customHeight="false" outlineLevel="0" collapsed="false">
      <c r="A46" s="5" t="n">
        <v>42</v>
      </c>
      <c r="B46" s="5" t="s">
        <v>988</v>
      </c>
      <c r="C46" s="5" t="s">
        <v>989</v>
      </c>
      <c r="D46" s="83" t="s">
        <v>990</v>
      </c>
    </row>
    <row r="47" customFormat="false" ht="15" hidden="false" customHeight="false" outlineLevel="0" collapsed="false">
      <c r="A47" s="5" t="n">
        <v>43</v>
      </c>
      <c r="B47" s="5" t="s">
        <v>991</v>
      </c>
      <c r="C47" s="5" t="s">
        <v>992</v>
      </c>
      <c r="D47" s="83" t="s">
        <v>993</v>
      </c>
    </row>
    <row r="48" customFormat="false" ht="15" hidden="false" customHeight="false" outlineLevel="0" collapsed="false">
      <c r="A48" s="5" t="n">
        <v>44</v>
      </c>
      <c r="B48" s="5" t="s">
        <v>994</v>
      </c>
      <c r="C48" s="5" t="s">
        <v>995</v>
      </c>
      <c r="D48" s="83" t="s">
        <v>996</v>
      </c>
    </row>
  </sheetData>
  <hyperlinks>
    <hyperlink ref="D5" r:id="rId1" display="https://fortune.com/2026/10/15/nvidias-european-spending-spree-is-about-much-more-than-europe/"/>
    <hyperlink ref="D6" r:id="rId2" display="https://www.stateof.ai/"/>
    <hyperlink ref="D7" r:id="rId3" display="https://vision2030.ai/analysis/humain-ai-infrastructure/"/>
    <hyperlink ref="D8" r:id="rId4" display="https://saudimarketresearchconsulting.com/insights/articles/humain-saudi-arabia-a-bold-sovereign-ai-push-reshaping-infrastructure-and-markets"/>
    <hyperlink ref="D9" r:id="rId5" display="https://www.qualcomm.com/news/releases/2025/10/humain-and-qualcomm-to-deploy-ai-infrastructure-in-saudi-arabia-"/>
    <hyperlink ref="D10" r:id="rId6" display="https://www.commerce.gov/news/press-releases/2025/11/statement-uae-and-saudi-chip-exports"/>
    <hyperlink ref="D11" r:id="rId7" display="https://www.reuters.com/business/us-authorizes-export-advanced-american-semiconductors-companies-saudi-uae-2025-11-19/"/>
    <hyperlink ref="D12" r:id="rId8" display="https://openai.com/index/introducing-stargate-uae/"/>
    <hyperlink ref="D13" r:id="rId9" display="https://www.g42.ai/resources/news/global-tech-alliance-launches-stargate-uae"/>
    <hyperlink ref="D14" r:id="rId10" display="https://thetechcapital.com/first-200mw-of-stargate-uae-will-come-online-in-2026-says-g42-chief"/>
    <hyperlink ref="D15" r:id="rId11" display="https://digital-strategy.ec.europa.eu/en/policies/ai-factories"/>
    <hyperlink ref="D16" r:id="rId12" display="https://www.eib.org/en/press/all/2025-491-eib-group-and-european-commission-join-forces-to-finance-ai-gigafactories"/>
    <hyperlink ref="D17" r:id="rId13" display="https://whoownsai.org/who-owns-ai.pdf"/>
    <hyperlink ref="D18" r:id="rId14" display="https://www.telekom.com/en/newsroom/latest-updates/media-information/2025/11/for-a-sovereign-germany"/>
    <hyperlink ref="D19" r:id="rId15" display="https://www.nscale.com/press-releases/nscale-uk-ai-infrastructure-announcement"/>
    <hyperlink ref="D20" r:id="rId16" display="https://openai.com/index/introducing-stargate-uk/"/>
    <hyperlink ref="D21" r:id="rId17" display="https://investor.nvidia.com/news/press-release-details/2025/NVIDIA-South-Korea-Government-and-Industrial-Giants-Build-AI-Infrastructure-and-Ecosystem-to-Fuel-Korea-Innovation-Industries-and-Jobs/default.aspx"/>
    <hyperlink ref="D22" r:id="rId18" display="https://www.spheron.network/blog/gpu-cloud-providers-japan-2026/"/>
    <hyperlink ref="D23" r:id="rId19" display="https://indiaai.gov.in/hub/indiaai-compute-capacity"/>
    <hyperlink ref="D24" r:id="rId20" display="https://introl.com/blog/malaysia-thailand-emerging-ai-data-center-hubs-southeast-asia"/>
    <hyperlink ref="D25" r:id="rId21" display="https://digitalinasia.com/southeast-asia-ai-data-centre-boom/"/>
    <hyperlink ref="D26" r:id="rId22" display="https://www.googlecloudpresscorner.com/2026-01-21-Google-Cloud-Launches-New-Cloud-Region-in-Thailand,-Bolstering-its-Commitment-to-Advancing-the-Countrys-AI-Driven-Digital-Economy"/>
    <hyperlink ref="D27" r:id="rId23" display="https://finance.yahoo.com/technology/ai/articles/sovereign-ai-market-reach-usd-151500186.html"/>
    <hyperlink ref="D28" r:id="rId24" display="https://www.grandviewresearch.com/industry-analysis/sovereign-ai-market-report"/>
    <hyperlink ref="D29" r:id="rId25" display="https://www.precedenceresearch.com/sovereign-ai-infrastructure-market"/>
    <hyperlink ref="D30" r:id="rId26" display="https://www.snsinsider.com/reports/sovereign-ai-infrastructure-market-10918"/>
    <hyperlink ref="D31" r:id="rId27" display="https://www.gartner.com/en/newsroom/press-releases/2026-09-16-gartner-forecasts-worldwide-ai-spending-to-grow-49-point-5-percent-in-2026"/>
    <hyperlink ref="D32" r:id="rId28" display="https://www.gartner.com/en/newsroom/press-releases/2026-10-14-gartner-says-over-us-dollars-three-and-a-half-trillion-of-artificial-intelligence-infrastructure-spending-could-be-exposed-to-impairment-by-the-end-of-2030"/>
    <hyperlink ref="D33" r:id="rId29" display="https://epoch.ai/data-insights/ai-datacenter-cost-breakdown"/>
    <hyperlink ref="D34" r:id="rId30" display="https://carnegieendowment.org/research/2026/06/the-compute-coalition-how-to-build-the-future-of-ai-in-the-free-world"/>
    <hyperlink ref="D35" r:id="rId31" display="https://www.idc-a.org/insights/Sk2PFZCost98Eqhk2FUA"/>
    <hyperlink ref="D36" r:id="rId32" display="https://www.brookings.edu/articles/global-energy-demands-within-the-ai-regulatory-landscape/"/>
    <hyperlink ref="D37" r:id="rId33" display="https://www.qovery.com/blog/european-gpu-cloud-alternatives-aws-azure-comparison"/>
    <hyperlink ref="D38" r:id="rId34" display="https://www.spheron.network/blog/ovhcloud-gpu-pricing-2026-h100-cost-and-sovereign-ai/"/>
    <hyperlink ref="D39" r:id="rId35" display="https://computeprices.com/providers/nebius"/>
    <hyperlink ref="D40" r:id="rId36" display="https://www.eia.gov/electricity/monthly/update/end-use.php"/>
    <hyperlink ref="D41" r:id="rId37" display="https://nvidianews.nvidia.com/news/nvidia-announces-financial-results-for-second-quarter-fiscal-2027"/>
    <hyperlink ref="D42" r:id="rId38" display="https://blogs.nvidia.com/blog/nvidia-ai-factory-compute/"/>
    <hyperlink ref="D43" r:id="rId39" display="https://www.weforum.org/stories/geographies-in-depth/the-global-economy-will-be-14-bigger-in-2030-because-of-ai"/>
    <hyperlink ref="D44" r:id="rId40" display="https://my.idc.com/getdoc.jsp?containerId=prUS52600524"/>
    <hyperlink ref="D45" r:id="rId41" display="https://www.bruegel.org/policy-brief/how-can-europe-address-its-pressing-ai-compute-infrastructure-shortfall"/>
    <hyperlink ref="D46" r:id="rId42" display="https://futurumgroup.com/insights/ai-capex-2026-the-690b-infrastructure-sprint/"/>
    <hyperlink ref="D47" r:id="rId43" display="https://www.reuters.com/business/retail-consumer/nvidias-china-ai-chip-share-falls-huawei-closes-gap-report-finds-2026-10-13/"/>
    <hyperlink ref="D48" r:id="rId44" display="https://avidsolutionsinc.com/13-data-center-growth-projections-that-will-shape-2026-2030/"/>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2026-10-19T22:55:41Z</dcterms:created>
  <dc:creator>openpyxl</dc:creator>
  <dc:description/>
  <dc:language>en-US</dc:language>
  <cp:lastModifiedBy/>
  <dcterms:modified xsi:type="dcterms:W3CDTF">2026-10-19T22:55:41Z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